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d9f8f1256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קירת V1" sheetId="1" r:id="R4eed861a9f2f469d"/>
    <x:sheet xmlns:r="http://schemas.openxmlformats.org/officeDocument/2006/relationships" name="Master Questionnaire" sheetId="2" r:id="R5e19762598e8435c"/>
    <x:sheet xmlns:r="http://schemas.openxmlformats.org/officeDocument/2006/relationships" name="בדיקות מסמכים" sheetId="3" r:id="R200bbd85b7824773"/>
    <x:sheet xmlns:r="http://schemas.openxmlformats.org/officeDocument/2006/relationships" name="עוגנים משפטיים" sheetId="4" r:id="R709f55228a114e12"/>
    <x:sheet xmlns:r="http://schemas.openxmlformats.org/officeDocument/2006/relationships" name="מנוע ניתוח" sheetId="5" r:id="R6722286fbcd84d7c"/>
    <x:sheet xmlns:r="http://schemas.openxmlformats.org/officeDocument/2006/relationships" name="מקדמי חשיפה" sheetId="6" r:id="R572449c08a8946a4"/>
    <x:sheet xmlns:r="http://schemas.openxmlformats.org/officeDocument/2006/relationships" name="מודל פרילנסרים" sheetId="7" r:id="R764bfc9afb014bb3"/>
    <x:sheet xmlns:r="http://schemas.openxmlformats.org/officeDocument/2006/relationships" name="מחשבון סיכון" sheetId="8" r:id="R80f15919f3ac45da"/>
    <x:sheet xmlns:r="http://schemas.openxmlformats.org/officeDocument/2006/relationships" name="מבנה דוח" sheetId="9" r:id="Rb27f12b0f380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44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2434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7EDF3"/>
      </x:patternFill>
    </x:fill>
    <x:fill>
      <x:patternFill patternType="solid">
        <x:fgColor rgb="FF365A6E"/>
      </x:patternFill>
    </x:fill>
    <x:fill>
      <x:patternFill patternType="solid">
        <x:fgColor rgb="FFDDE7EC"/>
      </x:patternFill>
    </x:fill>
    <x:fill>
      <x:patternFill patternType="solid">
        <x:fgColor rgb="FF243447"/>
      </x:patternFill>
    </x:fill>
    <x:fill>
      <x:patternFill patternType="solid">
        <x:fgColor rgb="FFE7EDF3"/>
      </x:patternFill>
    </x:fill>
    <x:fill>
      <x:patternFill patternType="solid">
        <x:fgColor rgb="FF365A6E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right" wrapText="1"/>
    </x:xf>
    <x:xf numFmtId="0" fontId="5" fillId="7" borderId="0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right" vertical="top" wrapText="1"/>
    </x:xf>
    <x:xf numFmtId="0" fontId="3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</x:font>
      <x:fill>
        <x:patternFill>
          <x:bgColor rgb="FFE5F2E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8E5F6"/>
        </x:patternFill>
      </x:fill>
    </x:dxf>
    <x:dxf>
      <x:font>
        <x:b/>
        <x:color rgb="FF9C1C12"/>
      </x:font>
      <x:fill>
        <x:patternFill patternType="solid">
          <x:bgColor rgb="FFF8CBC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850ffd1cf4d24" /><Relationship Type="http://schemas.openxmlformats.org/officeDocument/2006/relationships/theme" Target="/xl/theme/theme1.xml" Id="R61934751faf24993" /><Relationship Type="http://schemas.openxmlformats.org/officeDocument/2006/relationships/sharedStrings" Target="/xl/sharedStrings.xml" Id="R7b770a0b5b934d6c" /><Relationship Type="http://schemas.openxmlformats.org/officeDocument/2006/relationships/worksheet" Target="/xl/worksheets/sheet1.xml" Id="R4eed861a9f2f469d" /><Relationship Type="http://schemas.openxmlformats.org/officeDocument/2006/relationships/worksheet" Target="/xl/worksheets/sheet2.xml" Id="R5e19762598e8435c" /><Relationship Type="http://schemas.openxmlformats.org/officeDocument/2006/relationships/worksheet" Target="/xl/worksheets/sheet3.xml" Id="R200bbd85b7824773" /><Relationship Type="http://schemas.openxmlformats.org/officeDocument/2006/relationships/worksheet" Target="/xl/worksheets/sheet4.xml" Id="R709f55228a114e12" /><Relationship Type="http://schemas.openxmlformats.org/officeDocument/2006/relationships/worksheet" Target="/xl/worksheets/sheet5.xml" Id="R6722286fbcd84d7c" /><Relationship Type="http://schemas.openxmlformats.org/officeDocument/2006/relationships/worksheet" Target="/xl/worksheets/sheet6.xml" Id="R572449c08a8946a4" /><Relationship Type="http://schemas.openxmlformats.org/officeDocument/2006/relationships/worksheet" Target="/xl/worksheets/sheet7.xml" Id="R764bfc9afb014bb3" /><Relationship Type="http://schemas.openxmlformats.org/officeDocument/2006/relationships/worksheet" Target="/xl/worksheets/sheet8.xml" Id="R80f15919f3ac45da" /><Relationship Type="http://schemas.openxmlformats.org/officeDocument/2006/relationships/worksheet" Target="/xl/worksheets/sheet9.xml" Id="Rb27f12b0f3804e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0b356475834c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מספר שאלות במאגר לפי תחום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מספר שאלות</c:v>
          </c:tx>
          <c:cat>
            <c:strRef>
              <c:f>'סקירת V1'!$D$5:$D$12</c:f>
              <c:strCache>
                <c:ptCount val="0"/>
              </c:strCache>
            </c:strRef>
          </c:cat>
          <c:val>
            <c:numRef>
              <c:f>'סקירת V1'!$E$5:$E$12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0b356475834c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QuestionsTable" displayName="MasterQuestionsTable" ref="A1:L104" headerRowCount="1" totalsRowCount="0" totalsRowShown="0">
  <x:tableColumns count="12">
    <x:tableColumn id="1" name="ID"/>
    <x:tableColumn id="2" name="תחום"/>
    <x:tableColumn id="3" name="תת-תחום"/>
    <x:tableColumn id="4" name="נוסח השאלה ללקוח"/>
    <x:tableColumn id="5" name="סוג תשובה"/>
    <x:tableColumn id="6" name="אפשרויות / פורמט"/>
    <x:tableColumn id="7" name="מתי מוצג (Trigger)"/>
    <x:tableColumn id="8" name="שאלת המשך / פעולה"/>
    <x:tableColumn id="9" name="מסמך להעלאה"/>
    <x:tableColumn id="10" name="בדיקה פנימית בשלב הניתוח"/>
    <x:tableColumn id="11" name="שירות/צורך שעשוי להתגלות"/>
    <x:tableColumn id="12" name="ליבה/מותנ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umentChecksTable" displayName="DocumentChecksTable" ref="A1:F9" headerRowCount="1" totalsRowCount="0" totalsRowShown="0">
  <x:tableColumns count="6">
    <x:tableColumn id="1" name="ID"/>
    <x:tableColumn id="2" name="סוג מסמך"/>
    <x:tableColumn id="3" name="מה מבקשים מהלקוח"/>
    <x:tableColumn id="4" name="מה ה-AI מחלץ/בודק"/>
    <x:tableColumn id="5" name="שאלות מקושרות"/>
    <x:tableColumn id="6" name="הערה משפטית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alSourcesTable" displayName="LegalSourcesTable" ref="A1:E12" headerRowCount="1" totalsRowCount="0" totalsRowShown="0">
  <x:tableColumns count="5">
    <x:tableColumn id="1" name="נושא"/>
    <x:tableColumn id="2" name="מקור"/>
    <x:tableColumn id="3" name="עיקרון למנוע"/>
    <x:tableColumn id="4" name="URL"/>
    <x:tableColumn id="5" name="סטטוס/עדכו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uleCatalogTable" displayName="RuleCatalogTable" ref="A5:Q47" headerRowCount="1" totalsRowCount="0" totalsRowShown="0">
  <x:tableColumns count="17">
    <x:tableColumn id="1" name="Rule ID"/>
    <x:tableColumn id="2" name="תחום"/>
    <x:tableColumn id="3" name="ממצא/נושא"/>
    <x:tableColumn id="4" name="קלטים"/>
    <x:tableColumn id="5" name="תנאי לוגי V1"/>
    <x:tableColumn id="6" name="סטטוס מוצע"/>
    <x:tableColumn id="7" name="חומרה בסיסית 1-5"/>
    <x:tableColumn id="8" name="Override קריטי?"/>
    <x:tableColumn id="9" name="ראיה נדרשת"/>
    <x:tableColumn id="10" name="חישוב היקף"/>
    <x:tableColumn id="11" name="משך"/>
    <x:tableColumn id="12" name="שיטתיות"/>
    <x:tableColumn id="13" name="המלצה ראשונית"/>
    <x:tableColumn id="14" name="שירות אפשרי"/>
    <x:tableColumn id="15" name="מקור משפטי"/>
    <x:tableColumn id="16" name="אוטומציה"/>
    <x:tableColumn id="17" name="הערת זהירו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xposureFactorsTable" displayName="ExposureFactorsTable" ref="A5:H28" headerRowCount="1" totalsRowCount="0" totalsRowShown="0">
  <x:tableColumns count="8">
    <x:tableColumn id="1" name="ממד"/>
    <x:tableColumn id="2" name="ערך/קטגוריה"/>
    <x:tableColumn id="3" name="נקודות"/>
    <x:tableColumn id="4" name="הסבר"/>
    <x:tableColumn id="5" name="נכנס לציון?"/>
    <x:tableColumn id="6" name="שימוש"/>
    <x:tableColumn id="7" name="הערה"/>
    <x:tableColumn id="8" name="גרס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eelancerIndicatorsTable" displayName="FreelancerIndicatorsTable" ref="A5:H19" headerRowCount="1" totalsRowCount="0" totalsRowShown="0">
  <x:tableColumns count="8">
    <x:tableColumn id="1" name="שאלה"/>
    <x:tableColumn id="2" name="אינדיקציה"/>
    <x:tableColumn id="3" name="תנאי"/>
    <x:tableColumn id="4" name="נקודות Screening"/>
    <x:tableColumn id="5" name="כיוון"/>
    <x:tableColumn id="6" name="הערה"/>
    <x:tableColumn id="7" name="מקור"/>
    <x:tableColumn id="8" name="אוטומט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portStructureTable" displayName="ReportStructureTable" ref="A3:H15" headerRowCount="1" totalsRowCount="0" totalsRowShown="0">
  <x:tableColumns count="8">
    <x:tableColumn id="1" name="שכבה"/>
    <x:tableColumn id="2" name="שדה"/>
    <x:tableColumn id="3" name="פלט ללקוח"/>
    <x:tableColumn id="4" name="פלט מקצועי"/>
    <x:tableColumn id="5" name="מקור"/>
    <x:tableColumn id="6" name="מוצג תמיד?"/>
    <x:tableColumn id="7" name="הערה"/>
    <x:tableColumn id="8" name="גרס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6d308492f744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7f01ea0bd4e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0336954a6147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5ffc5bc67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af0e1cfda149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761bc5051548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96c468d0cb49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c3c1581ac144b0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" hidden="0" customWidth="1"/>
    <x:col min="4" max="4" width="2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2" t="str">
        <x:v>מיפוי משפטי מבוסס AI לעסקים — Master Questionnaire V1</x:v>
      </x:c>
      <x:c r="B1" s="32"/>
      <x:c r="C1" s="32"/>
      <x:c r="D1" s="32"/>
      <x:c r="E1" s="32"/>
      <x:c r="F1" s="32"/>
      <x:c r="G1" s="32"/>
      <x:c r="H1" s="32"/>
    </x:row>
    <x:row r="2">
      <x:c r="A2" s="33" t="str">
        <x:v>גרסת פיילוט: דיני עבודה | פרילנסרים | פרטיות במקום העבודה</x:v>
      </x:c>
      <x:c r="B2" s="33"/>
      <x:c r="C2" s="33"/>
      <x:c r="D2" s="33"/>
      <x:c r="E2" s="33"/>
      <x:c r="F2" s="33"/>
      <x:c r="G2" s="33"/>
      <x:c r="H2" s="33"/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22" t="str">
        <x:v>מדד</x:v>
      </x:c>
      <x:c r="B4" s="22" t="str">
        <x:v>ערך</x:v>
      </x:c>
      <x:c r="C4" s="40"/>
      <x:c r="D4" s="22" t="str">
        <x:v>תחום</x:v>
      </x:c>
      <x:c r="E4" s="22" t="str">
        <x:v>מספר שאלות</x:v>
      </x:c>
      <x:c r="F4" s="40"/>
      <x:c r="G4" s="40"/>
      <x:c r="H4" s="40"/>
    </x:row>
    <x:row r="5">
      <x:c r="A5" s="40" t="str">
        <x:v>סה"כ שאלות מאסטר</x:v>
      </x:c>
      <x:c r="B5" s="40" t="n">
        <x:f>COUNTA('Master Questionnaire'!A2:A200)</x:f>
        <x:v>103</x:v>
      </x:c>
      <x:c r="C5" s="40"/>
      <x:c r="D5" s="40" t="str">
        <x:v>פרופיל העסק</x:v>
      </x:c>
      <x:c r="E5" s="40" t="n">
        <x:f>COUNTIF('Master Questionnaire'!B$2:B$200,D5)</x:f>
        <x:v>12</x:v>
      </x:c>
      <x:c r="F5" s="40"/>
      <x:c r="G5" s="40"/>
      <x:c r="H5" s="40"/>
    </x:row>
    <x:row r="6">
      <x:c r="A6" s="40" t="str">
        <x:v>שאלות ליבה</x:v>
      </x:c>
      <x:c r="B6" s="40" t="n">
        <x:f>COUNTIF('Master Questionnaire'!L2:L200,"ליבה")</x:f>
        <x:v>54</x:v>
      </x:c>
      <x:c r="C6" s="40"/>
      <x:c r="D6" s="40" t="str">
        <x:v>קליטת עובדים ומסמכים</x:v>
      </x:c>
      <x:c r="E6" s="40" t="n">
        <x:f>COUNTIF('Master Questionnaire'!B$2:B$200,D6)</x:f>
        <x:v>7</x:v>
      </x:c>
      <x:c r="F6" s="40"/>
      <x:c r="G6" s="40"/>
      <x:c r="H6" s="40"/>
    </x:row>
    <x:row r="7">
      <x:c r="A7" s="40" t="str">
        <x:v>שאלות מותנות</x:v>
      </x:c>
      <x:c r="B7" s="40" t="n">
        <x:f>COUNTIF('Master Questionnaire'!L2:L200,"מותנה")</x:f>
        <x:v>49</x:v>
      </x:c>
      <x:c r="C7" s="40"/>
      <x:c r="D7" s="40" t="str">
        <x:v>שכר ותגמול</x:v>
      </x:c>
      <x:c r="E7" s="40" t="n">
        <x:f>COUNTIF('Master Questionnaire'!B$2:B$200,D7)</x:f>
        <x:v>5</x:v>
      </x:c>
      <x:c r="F7" s="40"/>
      <x:c r="G7" s="40"/>
      <x:c r="H7" s="40"/>
    </x:row>
    <x:row r="8">
      <x:c r="A8" s="40" t="str">
        <x:v>מסמכים לניתוח</x:v>
      </x:c>
      <x:c r="B8" s="40" t="n">
        <x:v>8</x:v>
      </x:c>
      <x:c r="C8" s="40"/>
      <x:c r="D8" s="40" t="str">
        <x:v>שעות עבודה ונוכחות</x:v>
      </x:c>
      <x:c r="E8" s="40" t="n">
        <x:f>COUNTIF('Master Questionnaire'!B$2:B$200,D8)</x:f>
        <x:v>16</x:v>
      </x:c>
      <x:c r="F8" s="40"/>
      <x:c r="G8" s="40"/>
      <x:c r="H8" s="40"/>
    </x:row>
    <x:row r="9">
      <x:c r="A9" s="40"/>
      <x:c r="B9" s="40"/>
      <x:c r="C9" s="40"/>
      <x:c r="D9" s="40" t="str">
        <x:v>זכויות סוציאליות</x:v>
      </x:c>
      <x:c r="E9" s="40" t="n">
        <x:f>COUNTIF('Master Questionnaire'!B$2:B$200,D9)</x:f>
        <x:v>8</x:v>
      </x:c>
      <x:c r="F9" s="40"/>
      <x:c r="G9" s="40"/>
      <x:c r="H9" s="40"/>
    </x:row>
    <x:row r="10">
      <x:c r="A10" s="40"/>
      <x:c r="B10" s="40"/>
      <x:c r="C10" s="40"/>
      <x:c r="D10" s="40" t="str">
        <x:v>ניהול עובדים וסיום העסקה</x:v>
      </x:c>
      <x:c r="E10" s="40" t="n">
        <x:f>COUNTIF('Master Questionnaire'!B$2:B$200,D10)</x:f>
        <x:v>13</x:v>
      </x:c>
      <x:c r="F10" s="40"/>
      <x:c r="G10" s="40"/>
      <x:c r="H10" s="40"/>
    </x:row>
    <x:row r="11">
      <x:c r="A11" s="41" t="str">
        <x:v>עקרונות הפיילוט</x:v>
      </x:c>
      <x:c r="B11" s="41" t="str"/>
      <x:c r="C11" s="41" t="str"/>
      <x:c r="D11" s="41" t="str"/>
      <x:c r="E11" s="41" t="str"/>
      <x:c r="F11" s="41" t="str"/>
      <x:c r="G11" s="41" t="str"/>
      <x:c r="H11" s="41" t="str"/>
    </x:row>
    <x:row r="12">
      <x:c r="A12" s="40" t="str">
        <x:v>1</x:v>
      </x:c>
      <x:c r="B12" s="40" t="str">
        <x:v>הלקוח נשאל על עובדות ולא על מסקנות משפטיות.</x:v>
      </x:c>
      <x:c r="C12" s="40" t="str"/>
      <x:c r="D12" s="40" t="str"/>
      <x:c r="E12" s="40" t="str"/>
      <x:c r="F12" s="40" t="str"/>
      <x:c r="G12" s="40" t="str"/>
      <x:c r="H12" s="40" t="str"/>
    </x:row>
    <x:row r="13">
      <x:c r="A13" s="40" t="str">
        <x:v>2</x:v>
      </x:c>
      <x:c r="B13" s="40" t="str">
        <x:v>שאלות נפתחות רק לפי Trigger; הלקוח לא רואה את כל מאגר השאלות.</x:v>
      </x:c>
      <x:c r="C13" s="40" t="str"/>
      <x:c r="D13" s="40" t="str"/>
      <x:c r="E13" s="40" t="str"/>
      <x:c r="F13" s="40" t="str"/>
      <x:c r="G13" s="40" t="str"/>
      <x:c r="H13" s="40" t="str"/>
    </x:row>
    <x:row r="14">
      <x:c r="A14" s="40" t="str">
        <x:v>3</x:v>
      </x:c>
      <x:c r="B14" s="40" t="str">
        <x:v>המסמכים משמשים ל-Extraction ו-Cross-check; Rule Engine משפטי ייבנה בשלב הבא.</x:v>
      </x:c>
      <x:c r="C14" s="40" t="str"/>
      <x:c r="D14" s="40" t="str"/>
      <x:c r="E14" s="40" t="str"/>
      <x:c r="F14" s="40" t="str"/>
      <x:c r="G14" s="40" t="str"/>
      <x:c r="H14" s="40" t="str"/>
    </x:row>
    <x:row r="15">
      <x:c r="A15" s="40" t="str">
        <x:v>4</x:v>
      </x:c>
      <x:c r="B15" s="40" t="str">
        <x:v>המערכת לא קובעת אוטומטית מעמד פרילנסר, משרת אמון או תחולת סעיף 14.</x:v>
      </x:c>
      <x:c r="C15" s="40" t="str"/>
      <x:c r="D15" s="40" t="str"/>
      <x:c r="E15" s="40" t="str"/>
      <x:c r="F15" s="40" t="str"/>
      <x:c r="G15" s="40" t="str"/>
      <x:c r="H15" s="40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f6d308492f74460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18" hidden="0" customWidth="1"/>
    <x:col min="4" max="4" width="44" hidden="0" customWidth="1"/>
    <x:col min="5" max="5" width="16" hidden="0" customWidth="1"/>
    <x:col min="6" max="6" width="38" hidden="0" customWidth="1"/>
    <x:col min="7" max="7" width="24" hidden="0" customWidth="1"/>
    <x:col min="8" max="8" width="32" hidden="0" customWidth="1"/>
    <x:col min="9" max="9" width="28" hidden="0" customWidth="1"/>
    <x:col min="10" max="10" width="46" hidden="0" customWidth="1"/>
    <x:col min="11" max="11" width="28" hidden="0" customWidth="1"/>
    <x:col min="12" max="12" width="12" hidden="0" customWidth="1"/>
  </x:cols>
  <x:sheetData>
    <x:row r="1" ht="34" customHeight="1">
      <x:c r="A1" s="44" t="str">
        <x:v>ID</x:v>
      </x:c>
      <x:c r="B1" s="44" t="str">
        <x:v>תחום</x:v>
      </x:c>
      <x:c r="C1" s="44" t="str">
        <x:v>תת-תחום</x:v>
      </x:c>
      <x:c r="D1" s="44" t="str">
        <x:v>נוסח השאלה ללקוח</x:v>
      </x:c>
      <x:c r="E1" s="44" t="str">
        <x:v>סוג תשובה</x:v>
      </x:c>
      <x:c r="F1" s="44" t="str">
        <x:v>אפשרויות / פורמט</x:v>
      </x:c>
      <x:c r="G1" s="44" t="str">
        <x:v>מתי מוצג (Trigger)</x:v>
      </x:c>
      <x:c r="H1" s="44" t="str">
        <x:v>שאלת המשך / פעולה</x:v>
      </x:c>
      <x:c r="I1" s="44" t="str">
        <x:v>מסמך להעלאה</x:v>
      </x:c>
      <x:c r="J1" s="44" t="str">
        <x:v>בדיקה פנימית בשלב הניתוח</x:v>
      </x:c>
      <x:c r="K1" s="44" t="str">
        <x:v>שירות/צורך שעשוי להתגלות</x:v>
      </x:c>
      <x:c r="L1" s="44" t="str">
        <x:v>ליבה/מותנה</x:v>
      </x:c>
    </x:row>
    <x:row r="2" ht="26.399999618530273" hidden="0" customHeight="1">
      <x:c r="A2" s="45" t="str">
        <x:v>GEN-01</x:v>
      </x:c>
      <x:c r="B2" s="48" t="str">
        <x:v>פרופיל העסק</x:v>
      </x:c>
      <x:c r="C2" s="48" t="str">
        <x:v>מבנה</x:v>
      </x:c>
      <x:c r="D2" s="48" t="str">
        <x:v>מהי צורת ההתאגדות של העסק?</x:v>
      </x:c>
      <x:c r="E2" s="48" t="str">
        <x:v>בחירה יחידה</x:v>
      </x:c>
      <x:c r="F2" s="48" t="str">
        <x:v>חברה בע"מ | עוסק מורשה | עוסק פטור | עוסק זעיר | שותפות | עמותה/חל"צ | אחר</x:v>
      </x:c>
      <x:c r="G2" s="48" t="str">
        <x:v>תמיד</x:v>
      </x:c>
      <x:c r="H2" s="48" t="str"/>
      <x:c r="I2" s="48" t="str"/>
      <x:c r="J2" s="48" t="str">
        <x:v>ישמש להתאמת היקף החשיפה והדוח; לא לבדו לקביעת סיכון.</x:v>
      </x:c>
      <x:c r="K2" s="48" t="str"/>
      <x:c r="L2" s="48" t="str">
        <x:v>ליבה</x:v>
      </x:c>
    </x:row>
    <x:row r="3" ht="15" hidden="0" customHeight="1">
      <x:c r="A3" s="45" t="str">
        <x:v>GEN-02</x:v>
      </x:c>
      <x:c r="B3" s="48" t="str">
        <x:v>פרופיל העסק</x:v>
      </x:c>
      <x:c r="C3" s="48" t="str">
        <x:v>פעילות</x:v>
      </x:c>
      <x:c r="D3" s="48" t="str">
        <x:v>מהו תחום הפעילות המרכזי של העסק?</x:v>
      </x:c>
      <x:c r="E3" s="48" t="str">
        <x:v>טקסט קצר</x:v>
      </x:c>
      <x:c r="F3" s="48" t="str"/>
      <x:c r="G3" s="48" t="str">
        <x:v>תמיד</x:v>
      </x:c>
      <x:c r="H3" s="48" t="str"/>
      <x:c r="I3" s="48" t="str"/>
      <x:c r="J3" s="48" t="str">
        <x:v>לזהות צורך בבדיקת הסדרים ענפיים/צווי הרחבה רלוונטיים.</x:v>
      </x:c>
      <x:c r="K3" s="48" t="str"/>
      <x:c r="L3" s="48" t="str">
        <x:v>ליבה</x:v>
      </x:c>
    </x:row>
    <x:row r="4" ht="15" hidden="0" customHeight="1">
      <x:c r="A4" s="45" t="str">
        <x:v>GEN-03</x:v>
      </x:c>
      <x:c r="B4" s="48" t="str">
        <x:v>פרופיל העסק</x:v>
      </x:c>
      <x:c r="C4" s="48" t="str">
        <x:v>אתרים</x:v>
      </x:c>
      <x:c r="D4" s="48" t="str">
        <x:v>בכמה אתרים/סניפים פועל העסק?</x:v>
      </x:c>
      <x:c r="E4" s="48" t="str">
        <x:v>מספר</x:v>
      </x:c>
      <x:c r="F4" s="48" t="str"/>
      <x:c r="G4" s="48" t="str">
        <x:v>תמיד</x:v>
      </x:c>
      <x:c r="H4" s="48" t="str"/>
      <x:c r="I4" s="48" t="str"/>
      <x:c r="J4" s="48" t="str">
        <x:v>משפיע על מצלמות, מדיניות, אחידות מסמכים והיקף חשיפה.</x:v>
      </x:c>
      <x:c r="K4" s="48" t="str"/>
      <x:c r="L4" s="48" t="str">
        <x:v>ליבה</x:v>
      </x:c>
    </x:row>
    <x:row r="5" ht="26.399999618530273" hidden="0" customHeight="1">
      <x:c r="A5" s="45" t="str">
        <x:v>GEN-04</x:v>
      </x:c>
      <x:c r="B5" s="48" t="str">
        <x:v>פרופיל העסק</x:v>
      </x:c>
      <x:c r="C5" s="48" t="str">
        <x:v>כוח אדם</x:v>
      </x:c>
      <x:c r="D5" s="48" t="str">
        <x:v>כמה עובדים שכירים מועסקים כיום?</x:v>
      </x:c>
      <x:c r="E5" s="48" t="str">
        <x:v>מספר</x:v>
      </x:c>
      <x:c r="F5" s="48" t="str"/>
      <x:c r="G5" s="48" t="str">
        <x:v>תמיד</x:v>
      </x:c>
      <x:c r="H5" s="48" t="str"/>
      <x:c r="I5" s="48" t="str"/>
      <x:c r="J5" s="48" t="str">
        <x:v>פרמטר מרכזי להיקף החשיפה ולטריגרים מבוססי מספר עובדים.</x:v>
      </x:c>
      <x:c r="K5" s="48" t="str"/>
      <x:c r="L5" s="48" t="str">
        <x:v>ליבה</x:v>
      </x:c>
    </x:row>
    <x:row r="6" ht="26.399999618530273" hidden="0" customHeight="1">
      <x:c r="A6" s="45" t="str">
        <x:v>GEN-05</x:v>
      </x:c>
      <x:c r="B6" s="48" t="str">
        <x:v>פרופיל העסק</x:v>
      </x:c>
      <x:c r="C6" s="48" t="str">
        <x:v>כוח אדם</x:v>
      </x:c>
      <x:c r="D6" s="48" t="str">
        <x:v>כמה עובדים נוספים הועסקו בעסק במהלך 12 החודשים האחרונים ואינם מועסקים כיום?</x:v>
      </x:c>
      <x:c r="E6" s="48" t="str">
        <x:v>מספר</x:v>
      </x:c>
      <x:c r="F6" s="48" t="str"/>
      <x:c r="G6" s="48" t="str">
        <x:v>תמיד</x:v>
      </x:c>
      <x:c r="H6" s="48" t="str"/>
      <x:c r="I6" s="48" t="str"/>
      <x:c r="J6" s="48" t="str">
        <x:v>משפיע על בדיקת סיום העסקה והיקף חשיפה רטרוספקטיבי.</x:v>
      </x:c>
      <x:c r="K6" s="48" t="str"/>
      <x:c r="L6" s="48" t="str">
        <x:v>ליבה</x:v>
      </x:c>
    </x:row>
    <x:row r="7" ht="26.399999618530273" hidden="0" customHeight="1">
      <x:c r="A7" s="45" t="str">
        <x:v>GEN-06</x:v>
      </x:c>
      <x:c r="B7" s="48" t="str">
        <x:v>פרופיל העסק</x:v>
      </x:c>
      <x:c r="C7" s="48" t="str">
        <x:v>פרילנסרים</x:v>
      </x:c>
      <x:c r="D7" s="48" t="str">
        <x:v>כמה פרילנסרים/נותני שירות קבועים עובדים כיום עם העסק?</x:v>
      </x:c>
      <x:c r="E7" s="48" t="str">
        <x:v>מספר</x:v>
      </x:c>
      <x:c r="F7" s="48" t="str"/>
      <x:c r="G7" s="48" t="str">
        <x:v>תמיד</x:v>
      </x:c>
      <x:c r="H7" s="48" t="str">
        <x:v>אם גדול מ-0 → פתיחת מודול פרילנסרים.</x:v>
      </x:c>
      <x:c r="I7" s="48" t="str"/>
      <x:c r="J7" s="48" t="str"/>
      <x:c r="K7" s="48" t="str">
        <x:v>בדיקת סיווג התקשרויות</x:v>
      </x:c>
      <x:c r="L7" s="48" t="str">
        <x:v>ליבה</x:v>
      </x:c>
    </x:row>
    <x:row r="8" ht="15" hidden="0" customHeight="1">
      <x:c r="A8" s="45" t="str">
        <x:v>GEN-07</x:v>
      </x:c>
      <x:c r="B8" s="48" t="str">
        <x:v>פרופיל העסק</x:v>
      </x:c>
      <x:c r="C8" s="48" t="str">
        <x:v>שכר</x:v>
      </x:c>
      <x:c r="D8" s="48" t="str">
        <x:v>כמה מהעובדים מועסקים בשכר שעתי?</x:v>
      </x:c>
      <x:c r="E8" s="48" t="str">
        <x:v>מספר</x:v>
      </x:c>
      <x:c r="F8" s="48" t="str"/>
      <x:c r="G8" s="48" t="str">
        <x:v>GEN-04 &gt; 0</x:v>
      </x:c>
      <x:c r="H8" s="48" t="str"/>
      <x:c r="I8" s="48" t="str"/>
      <x:c r="J8" s="48" t="str"/>
      <x:c r="K8" s="48" t="str"/>
      <x:c r="L8" s="48" t="str">
        <x:v>ליבה</x:v>
      </x:c>
    </x:row>
    <x:row r="9" ht="15" hidden="0" customHeight="1">
      <x:c r="A9" s="45" t="str">
        <x:v>GEN-08</x:v>
      </x:c>
      <x:c r="B9" s="48" t="str">
        <x:v>פרופיל העסק</x:v>
      </x:c>
      <x:c r="C9" s="48" t="str">
        <x:v>שכר</x:v>
      </x:c>
      <x:c r="D9" s="48" t="str">
        <x:v>כמה מהעובדים מועסקים בשכר חודשי?</x:v>
      </x:c>
      <x:c r="E9" s="48" t="str">
        <x:v>מספר</x:v>
      </x:c>
      <x:c r="F9" s="48" t="str"/>
      <x:c r="G9" s="48" t="str">
        <x:v>GEN-04 &gt; 0</x:v>
      </x:c>
      <x:c r="H9" s="48" t="str"/>
      <x:c r="I9" s="48" t="str"/>
      <x:c r="J9" s="48" t="str"/>
      <x:c r="K9" s="48" t="str"/>
      <x:c r="L9" s="48" t="str">
        <x:v>ליבה</x:v>
      </x:c>
    </x:row>
    <x:row r="10" ht="26.399999618530273" hidden="0" customHeight="1">
      <x:c r="A10" s="45" t="str">
        <x:v>GEN-09</x:v>
      </x:c>
      <x:c r="B10" s="48" t="str">
        <x:v>פרופיל העסק</x:v>
      </x:c>
      <x:c r="C10" s="48" t="str">
        <x:v>משרת אמון</x:v>
      </x:c>
      <x:c r="D10" s="48" t="str">
        <x:v>האם יש עובדים שהעסק מגדיר כעובדי הנהלה, בעלי תפקיד בכיר או משרת אמון?</x:v>
      </x:c>
      <x:c r="E10" s="48" t="str">
        <x:v>כן/לא/לא יודעת</x:v>
      </x:c>
      <x:c r="F10" s="48" t="str">
        <x:v>כן | לא | לא יודעת</x:v>
      </x:c>
      <x:c r="G10" s="48" t="str">
        <x:v>GEN-04 &gt; 0</x:v>
      </x:c>
      <x:c r="H10" s="48" t="str">
        <x:v>אם כן → GEN-10.</x:v>
      </x:c>
      <x:c r="I10" s="48" t="str"/>
      <x:c r="J10" s="48" t="str">
        <x:v>אין לקבל את הגדרת המעסיק כמכריעה; נדרשת בדיקה מהותית.</x:v>
      </x:c>
      <x:c r="K10" s="48" t="str"/>
      <x:c r="L10" s="48" t="str">
        <x:v>ליבה</x:v>
      </x:c>
    </x:row>
    <x:row r="11" ht="26.399999618530273" hidden="0" customHeight="1">
      <x:c r="A11" s="45" t="str">
        <x:v>GEN-10</x:v>
      </x:c>
      <x:c r="B11" s="48" t="str">
        <x:v>פרופיל העסק</x:v>
      </x:c>
      <x:c r="C11" s="48" t="str">
        <x:v>משרת אמון</x:v>
      </x:c>
      <x:c r="D11" s="48" t="str">
        <x:v>נא לציין את התפקידים שהעסק מגדיר כמשרת הנהלה/אמון.</x:v>
      </x:c>
      <x:c r="E11" s="48" t="str">
        <x:v>טקסט קצר</x:v>
      </x:c>
      <x:c r="F11" s="48" t="str"/>
      <x:c r="G11" s="48" t="str">
        <x:v>GEN-09 = כן</x:v>
      </x:c>
      <x:c r="H11" s="48" t="str"/>
      <x:c r="I11" s="48" t="str"/>
      <x:c r="J11" s="48" t="str">
        <x:v>בהמשך יש לבחון סמכויות, עצמאות, נגישות למידע, יכולת פיקוח על שעות ומאפייני התפקיד.</x:v>
      </x:c>
      <x:c r="K11" s="48" t="str"/>
      <x:c r="L11" s="48" t="str">
        <x:v>מותנה</x:v>
      </x:c>
    </x:row>
    <x:row r="12" ht="15" hidden="0" customHeight="1">
      <x:c r="A12" s="45" t="str">
        <x:v>GEN-11</x:v>
      </x:c>
      <x:c r="B12" s="48" t="str">
        <x:v>פרופיל העסק</x:v>
      </x:c>
      <x:c r="C12" s="48" t="str">
        <x:v>HR</x:v>
      </x:c>
      <x:c r="D12" s="48" t="str">
        <x:v>האם יש בעסק גורם האחראי על משאבי אנוש?</x:v>
      </x:c>
      <x:c r="E12" s="48" t="str">
        <x:v>כן/לא</x:v>
      </x:c>
      <x:c r="F12" s="48" t="str">
        <x:v>כן | לא</x:v>
      </x:c>
      <x:c r="G12" s="48" t="str">
        <x:v>GEN-04 &gt; 0</x:v>
      </x:c>
      <x:c r="H12" s="48" t="str">
        <x:v>אם כן → שם, תפקיד, טלפון ודוא"ל.</x:v>
      </x:c>
      <x:c r="I12" s="48" t="str"/>
      <x:c r="J12" s="48" t="str"/>
      <x:c r="K12" s="48" t="str">
        <x:v>ממשק עבודה מול HR</x:v>
      </x:c>
      <x:c r="L12" s="48" t="str">
        <x:v>ליבה</x:v>
      </x:c>
    </x:row>
    <x:row r="13" ht="26.399999618530273" hidden="0" customHeight="1">
      <x:c r="A13" s="45" t="str">
        <x:v>GEN-12</x:v>
      </x:c>
      <x:c r="B13" s="48" t="str">
        <x:v>פרופיל העסק</x:v>
      </x:c>
      <x:c r="C13" s="48" t="str">
        <x:v>שכר</x:v>
      </x:c>
      <x:c r="D13" s="48" t="str">
        <x:v>מי מטפל בפועל בשכר העובדים?</x:v>
      </x:c>
      <x:c r="E13" s="48" t="str">
        <x:v>בחירה יחידה</x:v>
      </x:c>
      <x:c r="F13" s="48" t="str">
        <x:v>חשבת שכר פנימית | חשבת שכר חיצונית | רו"ח | הנהלת חשבונות | בעל/ת העסק | אחר</x:v>
      </x:c>
      <x:c r="G13" s="48" t="str">
        <x:v>GEN-04 &gt; 0</x:v>
      </x:c>
      <x:c r="H13" s="48" t="str">
        <x:v>לבקש שם ופרטי התקשרות; בהמשך אפשר לשלוח שאלון משלים.</x:v>
      </x:c>
      <x:c r="I13" s="48" t="str"/>
      <x:c r="J13" s="48" t="str"/>
      <x:c r="K13" s="48" t="str">
        <x:v>שאלון חשבות שכר</x:v>
      </x:c>
      <x:c r="L13" s="48" t="str">
        <x:v>ליבה</x:v>
      </x:c>
    </x:row>
    <x:row r="14" ht="26.399999618530273" hidden="0" customHeight="1">
      <x:c r="A14" s="45" t="str">
        <x:v>EMP-01</x:v>
      </x:c>
      <x:c r="B14" s="48" t="str">
        <x:v>קליטת עובדים ומסמכים</x:v>
      </x:c>
      <x:c r="C14" s="48" t="str">
        <x:v>הסכם עבודה</x:v>
      </x:c>
      <x:c r="D14" s="48" t="str">
        <x:v>האם קיים הסכם עבודה בכתב עם כל העובדים?</x:v>
      </x:c>
      <x:c r="E14" s="48" t="str">
        <x:v>בחירה יחידה</x:v>
      </x:c>
      <x:c r="F14" s="48" t="str">
        <x:v>כן, עם כולם | רק עם חלקם | לא | לא יודעת</x:v>
      </x:c>
      <x:c r="G14" s="48" t="str">
        <x:v>GEN-04 &gt; 0</x:v>
      </x:c>
      <x:c r="H14" s="48" t="str">
        <x:v>אם כן/חלקם → אפשרות להעלות הסכם מייצג.</x:v>
      </x:c>
      <x:c r="I14" s="48" t="str">
        <x:v>הסכם עבודה מייצג</x:v>
      </x:c>
      <x:c r="J14" s="48" t="str">
        <x:v>לנתח האם ההסכם כולל את פרטי החובה הרלוונטיים; אין להסיק כשלעצמו שעמדה חובת הודעה לעובד.</x:v>
      </x:c>
      <x:c r="K14" s="48" t="str"/>
      <x:c r="L14" s="48" t="str">
        <x:v>ליבה</x:v>
      </x:c>
    </x:row>
    <x:row r="15" ht="26.399999618530273" hidden="0" customHeight="1">
      <x:c r="A15" s="45" t="str">
        <x:v>EMP-02</x:v>
      </x:c>
      <x:c r="B15" s="48" t="str">
        <x:v>קליטת עובדים ומסמכים</x:v>
      </x:c>
      <x:c r="C15" s="48" t="str">
        <x:v>הודעה לעובד</x:v>
      </x:c>
      <x:c r="D15" s="48" t="str">
        <x:v>האם נמסרה לעובדים הודעה בכתב על תנאי העבודה?</x:v>
      </x:c>
      <x:c r="E15" s="48" t="str">
        <x:v>בחירה יחידה</x:v>
      </x:c>
      <x:c r="F15" s="48" t="str">
        <x:v>כן, לכולם | רק לחלקם | לא | לא יודעת</x:v>
      </x:c>
      <x:c r="G15" s="48" t="str">
        <x:v>GEN-04 &gt; 0</x:v>
      </x:c>
      <x:c r="H15" s="48" t="str">
        <x:v>אם קיימת → אפשרות להעלות דוגמה.</x:v>
      </x:c>
      <x:c r="I15" s="48" t="str">
        <x:v>הודעה לעובד</x:v>
      </x:c>
      <x:c r="J15" s="48" t="str">
        <x:v>להצליב עם EMP-01: אם אין הודעה אך יש הסכם — לבדוק אם ההסכם ממלא את דרישות הדין.</x:v>
      </x:c>
      <x:c r="K15" s="48" t="str"/>
      <x:c r="L15" s="48" t="str">
        <x:v>ליבה</x:v>
      </x:c>
    </x:row>
    <x:row r="16" ht="26.399999618530273" hidden="0" customHeight="1">
      <x:c r="A16" s="45" t="str">
        <x:v>EMP-03</x:v>
      </x:c>
      <x:c r="B16" s="48" t="str">
        <x:v>קליטת עובדים ומסמכים</x:v>
      </x:c>
      <x:c r="C16" s="48" t="str">
        <x:v>מועד מסירה</x:v>
      </x:c>
      <x:c r="D16" s="48" t="str">
        <x:v>מתי העובד מקבל בדרך כלל את הסכם העבודה או מסמך תנאי העבודה?</x:v>
      </x:c>
      <x:c r="E16" s="48" t="str">
        <x:v>בחירה יחידה</x:v>
      </x:c>
      <x:c r="F16" s="48" t="str">
        <x:v>לפני תחילת העבודה | ביום תחילת העבודה | לאחר תחילת העבודה | משתנה | לא יודעת</x:v>
      </x:c>
      <x:c r="G16" s="48" t="str">
        <x:v>GEN-04 &gt; 0</x:v>
      </x:c>
      <x:c r="H16" s="48" t="str"/>
      <x:c r="I16" s="48" t="str"/>
      <x:c r="J16" s="48" t="str">
        <x:v>לבחון עמידה במועדים לפי הדין, לפי גיל העובד ונסיבות ההעסקה.</x:v>
      </x:c>
      <x:c r="K16" s="48" t="str"/>
      <x:c r="L16" s="48" t="str">
        <x:v>ליבה</x:v>
      </x:c>
    </x:row>
    <x:row r="17" ht="26.399999618530273" hidden="0" customHeight="1">
      <x:c r="A17" s="45" t="str">
        <x:v>EMP-04</x:v>
      </x:c>
      <x:c r="B17" s="48" t="str">
        <x:v>קליטת עובדים ומסמכים</x:v>
      </x:c>
      <x:c r="C17" s="48" t="str">
        <x:v>שינוי תנאים</x:v>
      </x:c>
      <x:c r="D17" s="48" t="str">
        <x:v>האם במהלך ההעסקה משתנים לעיתים שכר, תפקיד, היקף משרה, שעות או מקום העבודה?</x:v>
      </x:c>
      <x:c r="E17" s="48" t="str">
        <x:v>כן/לא</x:v>
      </x:c>
      <x:c r="F17" s="48" t="str">
        <x:v>כן | לא</x:v>
      </x:c>
      <x:c r="G17" s="48" t="str">
        <x:v>GEN-04 &gt; 0</x:v>
      </x:c>
      <x:c r="H17" s="48" t="str">
        <x:v>אם כן → EMP-05.</x:v>
      </x:c>
      <x:c r="I17" s="48" t="str"/>
      <x:c r="J17" s="48" t="str"/>
      <x:c r="K17" s="48" t="str"/>
      <x:c r="L17" s="48" t="str">
        <x:v>ליבה</x:v>
      </x:c>
    </x:row>
    <x:row r="18" ht="26.399999618530273" hidden="0" customHeight="1">
      <x:c r="A18" s="45" t="str">
        <x:v>EMP-05</x:v>
      </x:c>
      <x:c r="B18" s="48" t="str">
        <x:v>קליטת עובדים ומסמכים</x:v>
      </x:c>
      <x:c r="C18" s="48" t="str">
        <x:v>שינוי תנאים</x:v>
      </x:c>
      <x:c r="D18" s="48" t="str">
        <x:v>כאשר חל שינוי מהותי בתנאי העבודה, האם הוא מתועד ונמסר לעובד בכתב?</x:v>
      </x:c>
      <x:c r="E18" s="48" t="str">
        <x:v>בחירה יחידה</x:v>
      </x:c>
      <x:c r="F18" s="48" t="str">
        <x:v>תמיד | בדרך כלל | לפעמים | לא | לא יודעת</x:v>
      </x:c>
      <x:c r="G18" s="48" t="str">
        <x:v>EMP-04 = כן</x:v>
      </x:c>
      <x:c r="H18" s="48" t="str"/>
      <x:c r="I18" s="48" t="str"/>
      <x:c r="J18" s="48" t="str">
        <x:v>לבדוק חובת הודעה על שינוי ותאימות בין ההסכם למציאות.</x:v>
      </x:c>
      <x:c r="K18" s="48" t="str"/>
      <x:c r="L18" s="48" t="str">
        <x:v>מותנה</x:v>
      </x:c>
    </x:row>
    <x:row r="19" ht="15" hidden="0" customHeight="1">
      <x:c r="A19" s="45" t="str">
        <x:v>EMP-06</x:v>
      </x:c>
      <x:c r="B19" s="48" t="str">
        <x:v>קליטת עובדים ומסמכים</x:v>
      </x:c>
      <x:c r="C19" s="48" t="str">
        <x:v>תיק עובד</x:v>
      </x:c>
      <x:c r="D19" s="48" t="str">
        <x:v>האם קיים תיק עובד מסודר לכל עובד?</x:v>
      </x:c>
      <x:c r="E19" s="48" t="str">
        <x:v>בחירה יחידה</x:v>
      </x:c>
      <x:c r="F19" s="48" t="str">
        <x:v>כן, לכולם | לחלקם | לא | לא יודעת</x:v>
      </x:c>
      <x:c r="G19" s="48" t="str">
        <x:v>GEN-04 &gt; 0</x:v>
      </x:c>
      <x:c r="H19" s="48" t="str">
        <x:v>אם כן/חלקם → EMP-07.</x:v>
      </x:c>
      <x:c r="I19" s="48" t="str"/>
      <x:c r="J19" s="48" t="str"/>
      <x:c r="K19" s="48" t="str"/>
      <x:c r="L19" s="48" t="str">
        <x:v>ליבה</x:v>
      </x:c>
    </x:row>
    <x:row r="20" ht="52.79999923706055" hidden="0" customHeight="1">
      <x:c r="A20" s="45" t="str">
        <x:v>EMP-07</x:v>
      </x:c>
      <x:c r="B20" s="48" t="str">
        <x:v>קליטת עובדים ומסמכים</x:v>
      </x:c>
      <x:c r="C20" s="48" t="str">
        <x:v>תיק עובד</x:v>
      </x:c>
      <x:c r="D20" s="48" t="str">
        <x:v>היכן נשמרים תיקי העובדים והמסמכים הנלווים?</x:v>
      </x:c>
      <x:c r="E20" s="48" t="str">
        <x:v>בחירה מרובה</x:v>
      </x:c>
      <x:c r="F20" s="48" t="str">
        <x:v>מערכת HR | שרת החברה | Google Drive/OneDrive/Dropbox | מחשב אישי | דוא"ל | WhatsApp | תיק פיזי | אצל חשבת השכר/רו"ח | אחר</x:v>
      </x:c>
      <x:c r="G20" s="48" t="str">
        <x:v>EMP-06 ≠ לא</x:v>
      </x:c>
      <x:c r="H20" s="48" t="str"/>
      <x:c r="I20" s="48" t="str"/>
      <x:c r="J20" s="48" t="str">
        <x:v>פותח במקביל בדיקת פרטיות, הרשאות ושמירת מידע.</x:v>
      </x:c>
      <x:c r="K20" s="48" t="str"/>
      <x:c r="L20" s="48" t="str">
        <x:v>מותנה</x:v>
      </x:c>
    </x:row>
    <x:row r="21" ht="26.399999618530273" hidden="0" customHeight="1">
      <x:c r="A21" s="45" t="str">
        <x:v>PAY-01</x:v>
      </x:c>
      <x:c r="B21" s="48" t="str">
        <x:v>שכר ותגמול</x:v>
      </x:c>
      <x:c r="C21" s="48" t="str">
        <x:v>בונוסים ועמלות</x:v>
      </x:c>
      <x:c r="D21" s="48" t="str">
        <x:v>האם משולמים לעובדים בונוסים, עמלות או תמריצים בנוסף לשכר הבסיס?</x:v>
      </x:c>
      <x:c r="E21" s="48" t="str">
        <x:v>כן/לא</x:v>
      </x:c>
      <x:c r="F21" s="48" t="str">
        <x:v>כן | לא</x:v>
      </x:c>
      <x:c r="G21" s="48" t="str">
        <x:v>GEN-04 &gt; 0</x:v>
      </x:c>
      <x:c r="H21" s="48" t="str">
        <x:v>אם כן → PAY-02–PAY-05.</x:v>
      </x:c>
      <x:c r="I21" s="48" t="str"/>
      <x:c r="J21" s="48" t="str"/>
      <x:c r="K21" s="48" t="str"/>
      <x:c r="L21" s="48" t="str">
        <x:v>ליבה</x:v>
      </x:c>
    </x:row>
    <x:row r="22" ht="26.399999618530273" hidden="0" customHeight="1">
      <x:c r="A22" s="45" t="str">
        <x:v>PAY-02</x:v>
      </x:c>
      <x:c r="B22" s="48" t="str">
        <x:v>שכר ותגמול</x:v>
      </x:c>
      <x:c r="C22" s="48" t="str">
        <x:v>בונוסים ועמלות</x:v>
      </x:c>
      <x:c r="D22" s="48" t="str">
        <x:v>אילו סוגי תשלומים נוספים משולמים?</x:v>
      </x:c>
      <x:c r="E22" s="48" t="str">
        <x:v>בחירה מרובה</x:v>
      </x:c>
      <x:c r="F22" s="48" t="str">
        <x:v>עמלה על מכירה/עסקה | בונוס על יעדים | בונוס תקופתי | בונוס לפי שיקול דעת | תמריץ אחר</x:v>
      </x:c>
      <x:c r="G22" s="48" t="str">
        <x:v>PAY-01 = כן</x:v>
      </x:c>
      <x:c r="H22" s="48" t="str"/>
      <x:c r="I22" s="48" t="str"/>
      <x:c r="J22" s="48" t="str"/>
      <x:c r="K22" s="48" t="str"/>
      <x:c r="L22" s="48" t="str">
        <x:v>מותנה</x:v>
      </x:c>
    </x:row>
    <x:row r="23" ht="26.399999618530273" hidden="0" customHeight="1">
      <x:c r="A23" s="45" t="str">
        <x:v>PAY-03</x:v>
      </x:c>
      <x:c r="B23" s="48" t="str">
        <x:v>שכר ותגמול</x:v>
      </x:c>
      <x:c r="C23" s="48" t="str">
        <x:v>בונוסים ועמלות</x:v>
      </x:c>
      <x:c r="D23" s="48" t="str">
        <x:v>כיצד מחושב הבונוס/העמלה?</x:v>
      </x:c>
      <x:c r="E23" s="48" t="str">
        <x:v>טקסט קצר</x:v>
      </x:c>
      <x:c r="F23" s="48" t="str"/>
      <x:c r="G23" s="48" t="str">
        <x:v>PAY-01 = כן</x:v>
      </x:c>
      <x:c r="H23" s="48" t="str"/>
      <x:c r="I23" s="48" t="str"/>
      <x:c r="J23" s="48" t="str">
        <x:v>ה-AI יחפש מאפייני עמלה/תשלום קבוע/מותנה והשפעה אפשרית על בסיס זכויות.</x:v>
      </x:c>
      <x:c r="K23" s="48" t="str"/>
      <x:c r="L23" s="48" t="str">
        <x:v>מותנה</x:v>
      </x:c>
    </x:row>
    <x:row r="24" ht="26.399999618530273" hidden="0" customHeight="1">
      <x:c r="A24" s="45" t="str">
        <x:v>PAY-04</x:v>
      </x:c>
      <x:c r="B24" s="48" t="str">
        <x:v>שכר ותגמול</x:v>
      </x:c>
      <x:c r="C24" s="48" t="str">
        <x:v>בונוסים ועמלות</x:v>
      </x:c>
      <x:c r="D24" s="48" t="str">
        <x:v>האם מנגנון הבונוס/העמלה מוסדר במסמך כתוב?</x:v>
      </x:c>
      <x:c r="E24" s="48" t="str">
        <x:v>בחירה יחידה</x:v>
      </x:c>
      <x:c r="F24" s="48" t="str">
        <x:v>כן, בהסכם העבודה | כן, בנספח/תכנית נפרדת | חלקית | לא | לא יודעת</x:v>
      </x:c>
      <x:c r="G24" s="48" t="str">
        <x:v>PAY-01 = כן</x:v>
      </x:c>
      <x:c r="H24" s="48" t="str">
        <x:v>אם קיים מסמך → העלאה.</x:v>
      </x:c>
      <x:c r="I24" s="48" t="str">
        <x:v>הסכם/נספח עמלות/תכנית בונוסים</x:v>
      </x:c>
      <x:c r="J24" s="48" t="str">
        <x:v>לבדוק נוסחה, תנאי זכאות, שינוי חד-צדדי, מועד תשלום והגדרת בסיס לזכויות.</x:v>
      </x:c>
      <x:c r="K24" s="48" t="str"/>
      <x:c r="L24" s="48" t="str">
        <x:v>מותנה</x:v>
      </x:c>
    </x:row>
    <x:row r="25" ht="15" hidden="0" customHeight="1">
      <x:c r="A25" s="45" t="str">
        <x:v>PAY-05</x:v>
      </x:c>
      <x:c r="B25" s="48" t="str">
        <x:v>שכר ותגמול</x:v>
      </x:c>
      <x:c r="C25" s="48" t="str">
        <x:v>בונוסים ועמלות</x:v>
      </x:c>
      <x:c r="D25" s="48" t="str">
        <x:v>האם יש הבדלים במנגנון התגמול בין קבוצות עובדים?</x:v>
      </x:c>
      <x:c r="E25" s="48" t="str">
        <x:v>כן/לא/לא יודעת</x:v>
      </x:c>
      <x:c r="F25" s="48" t="str">
        <x:v>כן | לא | לא יודעת</x:v>
      </x:c>
      <x:c r="G25" s="48" t="str">
        <x:v>PAY-01 = כן</x:v>
      </x:c>
      <x:c r="H25" s="48" t="str">
        <x:v>אם כן → פירוט קצר.</x:v>
      </x:c>
      <x:c r="I25" s="48" t="str"/>
      <x:c r="J25" s="48" t="str"/>
      <x:c r="K25" s="48" t="str"/>
      <x:c r="L25" s="48" t="str">
        <x:v>מותנה</x:v>
      </x:c>
    </x:row>
    <x:row r="26" ht="26.399999618530273" hidden="0" customHeight="1">
      <x:c r="A26" s="45" t="str">
        <x:v>TIME-01</x:v>
      </x:c>
      <x:c r="B26" s="48" t="str">
        <x:v>שעות עבודה ונוכחות</x:v>
      </x:c>
      <x:c r="C26" s="48" t="str">
        <x:v>דיווח שעות</x:v>
      </x:c>
      <x:c r="D26" s="48" t="str">
        <x:v>האם העובדים מדווחים שעות עבודה?</x:v>
      </x:c>
      <x:c r="E26" s="48" t="str">
        <x:v>בחירה יחידה</x:v>
      </x:c>
      <x:c r="F26" s="48" t="str">
        <x:v>כן, כולם | רק עובדים שעתיים | רק חלק מהעובדים | לא | לא יודעת</x:v>
      </x:c>
      <x:c r="G26" s="48" t="str">
        <x:v>GEN-04 &gt; 0</x:v>
      </x:c>
      <x:c r="H26" s="48" t="str">
        <x:v>אם יש דיווח → TIME-02; אם חלק/לא → TIME-03.</x:v>
      </x:c>
      <x:c r="I26" s="48" t="str"/>
      <x:c r="J26" s="48" t="str"/>
      <x:c r="K26" s="48" t="str"/>
      <x:c r="L26" s="48" t="str">
        <x:v>ליבה</x:v>
      </x:c>
    </x:row>
    <x:row r="27" ht="26.399999618530273" hidden="0" customHeight="1">
      <x:c r="A27" s="45" t="str">
        <x:v>TIME-02</x:v>
      </x:c>
      <x:c r="B27" s="48" t="str">
        <x:v>שעות עבודה ונוכחות</x:v>
      </x:c>
      <x:c r="C27" s="48" t="str">
        <x:v>דיווח שעות</x:v>
      </x:c>
      <x:c r="D27" s="48" t="str">
        <x:v>כיצד מתבצע דיווח השעות?</x:v>
      </x:c>
      <x:c r="E27" s="48" t="str">
        <x:v>בחירה מרובה</x:v>
      </x:c>
      <x:c r="F27" s="48" t="str">
        <x:v>כרטיס/תג | אפליקציה | מחשב | דיווח ידני | טביעת אצבע | זיהוי פנים | אחר</x:v>
      </x:c>
      <x:c r="G27" s="48" t="str">
        <x:v>TIME-01 = כן/חלק</x:v>
      </x:c>
      <x:c r="H27" s="48" t="str"/>
      <x:c r="I27" s="48" t="str"/>
      <x:c r="J27" s="48" t="str">
        <x:v>טביעת אצבע/זיהוי פנים מפעילים גם מודול ביומטריה בפרטיות.</x:v>
      </x:c>
      <x:c r="K27" s="48" t="str"/>
      <x:c r="L27" s="48" t="str">
        <x:v>מותנה</x:v>
      </x:c>
    </x:row>
    <x:row r="28" ht="26.399999618530273" hidden="0" customHeight="1">
      <x:c r="A28" s="45" t="str">
        <x:v>TIME-03</x:v>
      </x:c>
      <x:c r="B28" s="48" t="str">
        <x:v>שעות עבודה ונוכחות</x:v>
      </x:c>
      <x:c r="C28" s="48" t="str">
        <x:v>דיווח שעות</x:v>
      </x:c>
      <x:c r="D28" s="48" t="str">
        <x:v>אילו עובדים אינם מדווחים שעות, ומה הסיבה לכך?</x:v>
      </x:c>
      <x:c r="E28" s="48" t="str">
        <x:v>טקסט קצר</x:v>
      </x:c>
      <x:c r="F28" s="48" t="str"/>
      <x:c r="G28" s="48" t="str">
        <x:v>TIME-01 = רק חלק / רק שעתיים / לא</x:v>
      </x:c>
      <x:c r="H28" s="48" t="str"/>
      <x:c r="I28" s="48" t="str"/>
      <x:c r="J28" s="48" t="str">
        <x:v>לבדוק האם הוחרגו כדין או שמדובר בפרקטיקה בעייתית.</x:v>
      </x:c>
      <x:c r="K28" s="48" t="str"/>
      <x:c r="L28" s="48" t="str">
        <x:v>מותנה</x:v>
      </x:c>
    </x:row>
    <x:row r="29" ht="26.399999618530273" hidden="0" customHeight="1">
      <x:c r="A29" s="45" t="str">
        <x:v>TIME-04</x:v>
      </x:c>
      <x:c r="B29" s="48" t="str">
        <x:v>שעות עבודה ונוכחות</x:v>
      </x:c>
      <x:c r="C29" s="48" t="str">
        <x:v>דיווח שעות</x:v>
      </x:c>
      <x:c r="D29" s="48" t="str">
        <x:v>האם העובדים יכולים לעקוב אחר רישום שעות העבודה שלהם?</x:v>
      </x:c>
      <x:c r="E29" s="48" t="str">
        <x:v>בחירה יחידה</x:v>
      </x:c>
      <x:c r="F29" s="48" t="str">
        <x:v>כן, באופן שוטף | מקבלים דו"ח חודשי | רק לפי בקשה | לא | לא יודעת</x:v>
      </x:c>
      <x:c r="G29" s="48" t="str">
        <x:v>TIME-01 ≠ לא</x:v>
      </x:c>
      <x:c r="H29" s="48" t="str"/>
      <x:c r="I29" s="48" t="str"/>
      <x:c r="J29" s="48" t="str"/>
      <x:c r="K29" s="48" t="str"/>
      <x:c r="L29" s="48" t="str">
        <x:v>ליבה</x:v>
      </x:c>
    </x:row>
    <x:row r="30" ht="26.399999618530273" hidden="0" customHeight="1">
      <x:c r="A30" s="45" t="str">
        <x:v>TIME-05</x:v>
      </x:c>
      <x:c r="B30" s="48" t="str">
        <x:v>שעות עבודה ונוכחות</x:v>
      </x:c>
      <x:c r="C30" s="48" t="str">
        <x:v>מסמכים</x:v>
      </x:c>
      <x:c r="D30" s="48" t="str">
        <x:v>האם ניתן להעלות דו"ח נוכחות של עובד אחד מחודש מייצג?</x:v>
      </x:c>
      <x:c r="E30" s="48" t="str">
        <x:v>כן/לא</x:v>
      </x:c>
      <x:c r="F30" s="48" t="str">
        <x:v>כן | לא</x:v>
      </x:c>
      <x:c r="G30" s="48" t="str">
        <x:v>TIME-01 ≠ לא</x:v>
      </x:c>
      <x:c r="H30" s="48" t="str"/>
      <x:c r="I30" s="48" t="str">
        <x:v>דו"ח נוכחות</x:v>
      </x:c>
      <x:c r="J30" s="48" t="str">
        <x:v>לצלב מול תלוש של אותו חודש.</x:v>
      </x:c>
      <x:c r="K30" s="48" t="str"/>
      <x:c r="L30" s="48" t="str">
        <x:v>מותנה</x:v>
      </x:c>
    </x:row>
    <x:row r="31" ht="15" hidden="0" customHeight="1">
      <x:c r="A31" s="45" t="str">
        <x:v>TIME-06</x:v>
      </x:c>
      <x:c r="B31" s="48" t="str">
        <x:v>שעות עבודה ונוכחות</x:v>
      </x:c>
      <x:c r="C31" s="48" t="str">
        <x:v>שעות נוספות</x:v>
      </x:c>
      <x:c r="D31" s="48" t="str">
        <x:v>האם עובדים מבצעים שעות נוספות?</x:v>
      </x:c>
      <x:c r="E31" s="48" t="str">
        <x:v>בחירה יחידה</x:v>
      </x:c>
      <x:c r="F31" s="48" t="str">
        <x:v>כן, באופן קבוע | כן, לעיתים | לא | לא יודעת</x:v>
      </x:c>
      <x:c r="G31" s="48" t="str">
        <x:v>GEN-04 &gt; 0</x:v>
      </x:c>
      <x:c r="H31" s="48" t="str">
        <x:v>אם כן/לעיתים → TIME-07–TIME-09.</x:v>
      </x:c>
      <x:c r="I31" s="48" t="str"/>
      <x:c r="J31" s="48" t="str"/>
      <x:c r="K31" s="48" t="str"/>
      <x:c r="L31" s="48" t="str">
        <x:v>ליבה</x:v>
      </x:c>
    </x:row>
    <x:row r="32" ht="39.599998474121094" hidden="0" customHeight="1">
      <x:c r="A32" s="45" t="str">
        <x:v>TIME-07</x:v>
      </x:c>
      <x:c r="B32" s="48" t="str">
        <x:v>שעות עבודה ונוכחות</x:v>
      </x:c>
      <x:c r="C32" s="48" t="str">
        <x:v>שעות נוספות</x:v>
      </x:c>
      <x:c r="D32" s="48" t="str">
        <x:v>כיצד משולמות שעות נוספות?</x:v>
      </x:c>
      <x:c r="E32" s="48" t="str">
        <x:v>בחירה מרובה</x:v>
      </x:c>
      <x:c r="F32" s="48" t="str">
        <x:v>לפי שעות שבוצעו בפועל | רכיב שעות נוספות גלובלי | כלולות בשכר החודשי | לא משולמות בנפרד | אחר | לא יודעת</x:v>
      </x:c>
      <x:c r="G32" s="48" t="str">
        <x:v>TIME-06 = כן/לעיתים</x:v>
      </x:c>
      <x:c r="H32" s="48" t="str"/>
      <x:c r="I32" s="48" t="str"/>
      <x:c r="J32" s="48" t="str">
        <x:v>לבדוק מנגנון חוזי, תלוש, נוכחות והיקף ביצוע בפועל.</x:v>
      </x:c>
      <x:c r="K32" s="48" t="str"/>
      <x:c r="L32" s="48" t="str">
        <x:v>מותנה</x:v>
      </x:c>
    </x:row>
    <x:row r="33" ht="26.399999618530273" hidden="0" customHeight="1">
      <x:c r="A33" s="45" t="str">
        <x:v>TIME-08</x:v>
      </x:c>
      <x:c r="B33" s="48" t="str">
        <x:v>שעות עבודה ונוכחות</x:v>
      </x:c>
      <x:c r="C33" s="48" t="str">
        <x:v>שעות נוספות</x:v>
      </x:c>
      <x:c r="D33" s="48" t="str">
        <x:v>אם משולם רכיב שעות נוספות גלובלי — האם הוא מופיע כרכיב נפרד בתלוש?</x:v>
      </x:c>
      <x:c r="E33" s="48" t="str">
        <x:v>כן/לא/לא יודעת</x:v>
      </x:c>
      <x:c r="F33" s="48" t="str">
        <x:v>כן | לא | לא יודעת</x:v>
      </x:c>
      <x:c r="G33" s="48" t="str">
        <x:v>TIME-07 כולל שעות נוספות גלובליות</x:v>
      </x:c>
      <x:c r="H33" s="48" t="str"/>
      <x:c r="I33" s="48" t="str"/>
      <x:c r="J33" s="48" t="str">
        <x:v>להצליב עם החוזה ודו"חות נוכחות.</x:v>
      </x:c>
      <x:c r="K33" s="48" t="str"/>
      <x:c r="L33" s="48" t="str">
        <x:v>מותנה</x:v>
      </x:c>
    </x:row>
    <x:row r="34" ht="26.399999618530273" hidden="0" customHeight="1">
      <x:c r="A34" s="45" t="str">
        <x:v>TIME-09</x:v>
      </x:c>
      <x:c r="B34" s="48" t="str">
        <x:v>שעות עבודה ונוכחות</x:v>
      </x:c>
      <x:c r="C34" s="48" t="str">
        <x:v>שעות נוספות</x:v>
      </x:c>
      <x:c r="D34" s="48" t="str">
        <x:v>האם הסכם העבודה מתייחס למנגנון השעות הנוספות?</x:v>
      </x:c>
      <x:c r="E34" s="48" t="str">
        <x:v>כן/לא/לא יודעת</x:v>
      </x:c>
      <x:c r="F34" s="48" t="str">
        <x:v>כן | לא | לא יודעת</x:v>
      </x:c>
      <x:c r="G34" s="48" t="str">
        <x:v>TIME-06 = כן/לעיתים</x:v>
      </x:c>
      <x:c r="H34" s="48" t="str"/>
      <x:c r="I34" s="48" t="str"/>
      <x:c r="J34" s="48" t="str">
        <x:v>עדיפות לניתוח המסמך עצמו; תשובת הלקוח היא אינדיקציה בלבד.</x:v>
      </x:c>
      <x:c r="K34" s="48" t="str"/>
      <x:c r="L34" s="48" t="str">
        <x:v>מותנה</x:v>
      </x:c>
    </x:row>
    <x:row r="35" ht="15" hidden="0" customHeight="1">
      <x:c r="A35" s="45" t="str">
        <x:v>TIME-10</x:v>
      </x:c>
      <x:c r="B35" s="48" t="str">
        <x:v>שעות עבודה ונוכחות</x:v>
      </x:c>
      <x:c r="C35" s="48" t="str">
        <x:v>שבוע עבודה</x:v>
      </x:c>
      <x:c r="D35" s="48" t="str">
        <x:v>האם שבוע העבודה הרגיל בעסק הוא בן 5 ימים או 6 ימים?</x:v>
      </x:c>
      <x:c r="E35" s="48" t="str">
        <x:v>בחירה יחידה</x:v>
      </x:c>
      <x:c r="F35" s="48" t="str">
        <x:v>5 ימים | 6 ימים | משתנה בין עובדים | לא יודעת</x:v>
      </x:c>
      <x:c r="G35" s="48" t="str">
        <x:v>GEN-04 &gt; 0</x:v>
      </x:c>
      <x:c r="H35" s="48" t="str"/>
      <x:c r="I35" s="48" t="str"/>
      <x:c r="J35" s="48" t="str"/>
      <x:c r="K35" s="48" t="str"/>
      <x:c r="L35" s="48" t="str">
        <x:v>ליבה</x:v>
      </x:c>
    </x:row>
    <x:row r="36" ht="15" hidden="0" customHeight="1">
      <x:c r="A36" s="45" t="str">
        <x:v>TIME-11</x:v>
      </x:c>
      <x:c r="B36" s="48" t="str">
        <x:v>שעות עבודה ונוכחות</x:v>
      </x:c>
      <x:c r="C36" s="48" t="str">
        <x:v>משמרות</x:v>
      </x:c>
      <x:c r="D36" s="48" t="str">
        <x:v>האם קיימת עבודה במשמרות?</x:v>
      </x:c>
      <x:c r="E36" s="48" t="str">
        <x:v>כן/לא</x:v>
      </x:c>
      <x:c r="F36" s="48" t="str">
        <x:v>כן | לא</x:v>
      </x:c>
      <x:c r="G36" s="48" t="str">
        <x:v>GEN-04 &gt; 0</x:v>
      </x:c>
      <x:c r="H36" s="48" t="str">
        <x:v>אם כן → TIME-12–TIME-14.</x:v>
      </x:c>
      <x:c r="I36" s="48" t="str"/>
      <x:c r="J36" s="48" t="str"/>
      <x:c r="K36" s="48" t="str"/>
      <x:c r="L36" s="48" t="str">
        <x:v>ליבה</x:v>
      </x:c>
    </x:row>
    <x:row r="37" ht="15" hidden="0" customHeight="1">
      <x:c r="A37" s="45" t="str">
        <x:v>TIME-12</x:v>
      </x:c>
      <x:c r="B37" s="48" t="str">
        <x:v>שעות עבודה ונוכחות</x:v>
      </x:c>
      <x:c r="C37" s="48" t="str">
        <x:v>משמרות</x:v>
      </x:c>
      <x:c r="D37" s="48" t="str">
        <x:v>מהו משך המשמרת הרגילה?</x:v>
      </x:c>
      <x:c r="E37" s="48" t="str">
        <x:v>מספר שעות</x:v>
      </x:c>
      <x:c r="F37" s="48" t="str"/>
      <x:c r="G37" s="48" t="str">
        <x:v>TIME-11 = כן</x:v>
      </x:c>
      <x:c r="H37" s="48" t="str"/>
      <x:c r="I37" s="48" t="str"/>
      <x:c r="J37" s="48" t="str"/>
      <x:c r="K37" s="48" t="str"/>
      <x:c r="L37" s="48" t="str">
        <x:v>מותנה</x:v>
      </x:c>
    </x:row>
    <x:row r="38" ht="15" hidden="0" customHeight="1">
      <x:c r="A38" s="45" t="str">
        <x:v>TIME-13</x:v>
      </x:c>
      <x:c r="B38" s="48" t="str">
        <x:v>שעות עבודה ונוכחות</x:v>
      </x:c>
      <x:c r="C38" s="48" t="str">
        <x:v>לילה</x:v>
      </x:c>
      <x:c r="D38" s="48" t="str">
        <x:v>האם קיימות משמרות לילה?</x:v>
      </x:c>
      <x:c r="E38" s="48" t="str">
        <x:v>כן/לא</x:v>
      </x:c>
      <x:c r="F38" s="48" t="str">
        <x:v>כן | לא</x:v>
      </x:c>
      <x:c r="G38" s="48" t="str">
        <x:v>TIME-11 = כן</x:v>
      </x:c>
      <x:c r="H38" s="48" t="str">
        <x:v>אם כן → שעות התחלה וסיום.</x:v>
      </x:c>
      <x:c r="I38" s="48" t="str"/>
      <x:c r="J38" s="48" t="str">
        <x:v>לבדוק תחולת דיני עבודת לילה והיקף השעות.</x:v>
      </x:c>
      <x:c r="K38" s="48" t="str"/>
      <x:c r="L38" s="48" t="str">
        <x:v>מותנה</x:v>
      </x:c>
    </x:row>
    <x:row r="39" ht="26.399999618530273" hidden="0" customHeight="1">
      <x:c r="A39" s="45" t="str">
        <x:v>TIME-14</x:v>
      </x:c>
      <x:c r="B39" s="48" t="str">
        <x:v>שעות עבודה ונוכחות</x:v>
      </x:c>
      <x:c r="C39" s="48" t="str">
        <x:v>מנוחה שבועית</x:v>
      </x:c>
      <x:c r="D39" s="48" t="str">
        <x:v>האם עובדים מועסקים בשבת או בחג?</x:v>
      </x:c>
      <x:c r="E39" s="48" t="str">
        <x:v>בחירה יחידה</x:v>
      </x:c>
      <x:c r="F39" s="48" t="str">
        <x:v>כן, באופן קבוע | לעיתים | לא | לא יודעת</x:v>
      </x:c>
      <x:c r="G39" s="48" t="str">
        <x:v>GEN-04 &gt; 0</x:v>
      </x:c>
      <x:c r="H39" s="48" t="str"/>
      <x:c r="I39" s="48" t="str"/>
      <x:c r="J39" s="48" t="str">
        <x:v>לבדוק היתרים/חריגים/גמול ומנוחה חלופית לפי הענף והעובד.</x:v>
      </x:c>
      <x:c r="K39" s="48" t="str"/>
      <x:c r="L39" s="48" t="str">
        <x:v>ליבה</x:v>
      </x:c>
    </x:row>
    <x:row r="40" ht="26.399999618530273" hidden="0" customHeight="1">
      <x:c r="A40" s="45" t="str">
        <x:v>TIME-15</x:v>
      </x:c>
      <x:c r="B40" s="48" t="str">
        <x:v>שעות עבודה ונוכחות</x:v>
      </x:c>
      <x:c r="C40" s="48" t="str">
        <x:v>הפסקות</x:v>
      </x:c>
      <x:c r="D40" s="48" t="str">
        <x:v>האם העובדים נדרשים להישאר זמינים או במקום העבודה בזמן ההפסקה?</x:v>
      </x:c>
      <x:c r="E40" s="48" t="str">
        <x:v>בחירה יחידה</x:v>
      </x:c>
      <x:c r="F40" s="48" t="str">
        <x:v>כן | לא | תלוי בתפקיד | לא יודעת</x:v>
      </x:c>
      <x:c r="G40" s="48" t="str">
        <x:v>GEN-04 &gt; 0</x:v>
      </x:c>
      <x:c r="H40" s="48" t="str"/>
      <x:c r="I40" s="48" t="str"/>
      <x:c r="J40" s="48" t="str">
        <x:v>לבדוק האם ההפסקה ניתנת לניכוי ומהי מתכונת העבודה.</x:v>
      </x:c>
      <x:c r="K40" s="48" t="str"/>
      <x:c r="L40" s="48" t="str">
        <x:v>ליבה</x:v>
      </x:c>
    </x:row>
    <x:row r="41" ht="26.399999618530273" hidden="0" customHeight="1">
      <x:c r="A41" s="45" t="str">
        <x:v>TIME-16</x:v>
      </x:c>
      <x:c r="B41" s="48" t="str">
        <x:v>שעות עבודה ונוכחות</x:v>
      </x:c>
      <x:c r="C41" s="48" t="str">
        <x:v>עבודה מרחוק</x:v>
      </x:c>
      <x:c r="D41" s="48" t="str">
        <x:v>האם עובדים מבצעים עבודה מהבית או לאחר שעות העבודה באמצעות מייל, WhatsApp, טלפון וכדומה?</x:v>
      </x:c>
      <x:c r="E41" s="48" t="str">
        <x:v>בחירה יחידה</x:v>
      </x:c>
      <x:c r="F41" s="48" t="str">
        <x:v>כן, באופן שוטף | לעיתים | לא | לא יודעת</x:v>
      </x:c>
      <x:c r="G41" s="48" t="str">
        <x:v>GEN-04 &gt; 0</x:v>
      </x:c>
      <x:c r="H41" s="48" t="str"/>
      <x:c r="I41" s="48" t="str"/>
      <x:c r="J41" s="48" t="str">
        <x:v>לבחון דיווח שעות, ציפיות זמינות ומדיניות עבודה מרחוק.</x:v>
      </x:c>
      <x:c r="K41" s="48" t="str"/>
      <x:c r="L41" s="48" t="str">
        <x:v>ליבה</x:v>
      </x:c>
    </x:row>
    <x:row r="42" ht="26.399999618530273" hidden="0" customHeight="1">
      <x:c r="A42" s="45" t="str">
        <x:v>SOC-01</x:v>
      </x:c>
      <x:c r="B42" s="48" t="str">
        <x:v>זכויות סוציאליות</x:v>
      </x:c>
      <x:c r="C42" s="48" t="str">
        <x:v>פנסיה</x:v>
      </x:c>
      <x:c r="D42" s="48" t="str">
        <x:v>האם מבוצעות הפרשות פנסיוניות לכל העובדים הזכאים לכך?</x:v>
      </x:c>
      <x:c r="E42" s="48" t="str">
        <x:v>בחירה יחידה</x:v>
      </x:c>
      <x:c r="F42" s="48" t="str">
        <x:v>כן | יש חריגים/עיכובים | לא | לא יודעת</x:v>
      </x:c>
      <x:c r="G42" s="48" t="str">
        <x:v>GEN-04 &gt; 0</x:v>
      </x:c>
      <x:c r="H42" s="48" t="str">
        <x:v>אם חריגים/לא → פירוט כללי, ללא פרטי עובד מיותרים.</x:v>
      </x:c>
      <x:c r="I42" s="48" t="str"/>
      <x:c r="J42" s="48" t="str"/>
      <x:c r="K42" s="48" t="str"/>
      <x:c r="L42" s="48" t="str">
        <x:v>ליבה</x:v>
      </x:c>
    </x:row>
    <x:row r="43" ht="26.399999618530273" hidden="0" customHeight="1">
      <x:c r="A43" s="45" t="str">
        <x:v>SOC-02</x:v>
      </x:c>
      <x:c r="B43" s="48" t="str">
        <x:v>זכויות סוציאליות</x:v>
      </x:c>
      <x:c r="C43" s="48" t="str">
        <x:v>פנסיה</x:v>
      </x:c>
      <x:c r="D43" s="48" t="str">
        <x:v>בעת קליטת עובד חדש, האם נבדק אם קיימת לו קופה פנסיונית פעילה?</x:v>
      </x:c>
      <x:c r="E43" s="48" t="str">
        <x:v>בחירה יחידה</x:v>
      </x:c>
      <x:c r="F43" s="48" t="str">
        <x:v>תמיד | בדרך כלל | לפעמים | לא | לא יודעת</x:v>
      </x:c>
      <x:c r="G43" s="48" t="str">
        <x:v>GEN-04 &gt; 0</x:v>
      </x:c>
      <x:c r="H43" s="48" t="str"/>
      <x:c r="I43" s="48" t="str"/>
      <x:c r="J43" s="48" t="str"/>
      <x:c r="K43" s="48" t="str"/>
      <x:c r="L43" s="48" t="str">
        <x:v>ליבה</x:v>
      </x:c>
    </x:row>
    <x:row r="44" ht="26.399999618530273" hidden="0" customHeight="1">
      <x:c r="A44" s="45" t="str">
        <x:v>SOC-03</x:v>
      </x:c>
      <x:c r="B44" s="48" t="str">
        <x:v>זכויות סוציאליות</x:v>
      </x:c>
      <x:c r="C44" s="48" t="str">
        <x:v>פנסיה</x:v>
      </x:c>
      <x:c r="D44" s="48" t="str">
        <x:v>מי אחראי למעקב אחר ביצוע ההפקדות ולטיפול בהפקדות שנדחו או נכשלו?</x:v>
      </x:c>
      <x:c r="E44" s="48" t="str">
        <x:v>טקסט קצר</x:v>
      </x:c>
      <x:c r="F44" s="48" t="str"/>
      <x:c r="G44" s="48" t="str">
        <x:v>GEN-04 &gt; 0</x:v>
      </x:c>
      <x:c r="H44" s="48" t="str"/>
      <x:c r="I44" s="48" t="str"/>
      <x:c r="J44" s="48" t="str"/>
      <x:c r="K44" s="48" t="str">
        <x:v>בדיקת ממשק מעסיק–חשבות שכר</x:v>
      </x:c>
      <x:c r="L44" s="48" t="str">
        <x:v>ליבה</x:v>
      </x:c>
    </x:row>
    <x:row r="45" ht="26.399999618530273" hidden="0" customHeight="1">
      <x:c r="A45" s="45" t="str">
        <x:v>SOC-04</x:v>
      </x:c>
      <x:c r="B45" s="48" t="str">
        <x:v>זכויות סוציאליות</x:v>
      </x:c>
      <x:c r="C45" s="48" t="str">
        <x:v>פיצויים</x:v>
      </x:c>
      <x:c r="D45" s="48" t="str">
        <x:v>מה שיעור ההפקדה לרכיב הפיצויים?</x:v>
      </x:c>
      <x:c r="E45" s="48" t="str">
        <x:v>בחירה יחידה</x:v>
      </x:c>
      <x:c r="F45" s="48" t="str">
        <x:v>6% | 8.33% | משתנה בין עובדים | לא יודעת</x:v>
      </x:c>
      <x:c r="G45" s="48" t="str">
        <x:v>GEN-04 &gt; 0</x:v>
      </x:c>
      <x:c r="H45" s="48" t="str"/>
      <x:c r="I45" s="48" t="str"/>
      <x:c r="J45" s="48" t="str">
        <x:v>להצליב עם ההסכמים, צווי הרחבה/הסדרים רלוונטיים וסעיף 14.</x:v>
      </x:c>
      <x:c r="K45" s="48" t="str"/>
      <x:c r="L45" s="48" t="str">
        <x:v>ליבה</x:v>
      </x:c>
    </x:row>
    <x:row r="46" ht="26.399999618530273" hidden="0" customHeight="1">
      <x:c r="A46" s="45" t="str">
        <x:v>SOC-05</x:v>
      </x:c>
      <x:c r="B46" s="48" t="str">
        <x:v>זכויות סוציאליות</x:v>
      </x:c>
      <x:c r="C46" s="48" t="str">
        <x:v>סעיף 14</x:v>
      </x:c>
      <x:c r="D46" s="48" t="str">
        <x:v>האם ידוע לך אם הסכמי העבודה כוללים הסדרה לפי סעיף 14 לחוק פיצויי פיטורים?</x:v>
      </x:c>
      <x:c r="E46" s="48" t="str">
        <x:v>בחירה יחידה</x:v>
      </x:c>
      <x:c r="F46" s="48" t="str">
        <x:v>כן | לא | בחלק מההסכמים | לא יודעת</x:v>
      </x:c>
      <x:c r="G46" s="48" t="str">
        <x:v>GEN-04 &gt; 0</x:v>
      </x:c>
      <x:c r="H46" s="48" t="str"/>
      <x:c r="I46" s="48" t="str"/>
      <x:c r="J46" s="48" t="str">
        <x:v>אין להסתמך על תשובה זו; ניתוח המסמך יקבע אם קיימת הסדרה ובאיזה היקף.</x:v>
      </x:c>
      <x:c r="K46" s="48" t="str"/>
      <x:c r="L46" s="48" t="str">
        <x:v>ליבה</x:v>
      </x:c>
    </x:row>
    <x:row r="47" ht="26.399999618530273" hidden="0" customHeight="1">
      <x:c r="A47" s="45" t="str">
        <x:v>SOC-06</x:v>
      </x:c>
      <x:c r="B47" s="48" t="str">
        <x:v>זכויות סוציאליות</x:v>
      </x:c>
      <x:c r="C47" s="48" t="str">
        <x:v>הבדלים בין עובדים</x:v>
      </x:c>
      <x:c r="D47" s="48" t="str">
        <x:v>האם קיימים הבדלים בהפרשות או בהטבות בין קבוצות עובדים?</x:v>
      </x:c>
      <x:c r="E47" s="48" t="str">
        <x:v>כן/לא/לא יודעת</x:v>
      </x:c>
      <x:c r="F47" s="48" t="str">
        <x:v>כן | לא | לא יודעת</x:v>
      </x:c>
      <x:c r="G47" s="48" t="str">
        <x:v>GEN-04 &gt; 0</x:v>
      </x:c>
      <x:c r="H47" s="48" t="str">
        <x:v>אם כן → פירוט קצר לפי סוג עובדים.</x:v>
      </x:c>
      <x:c r="I47" s="48" t="str"/>
      <x:c r="J47" s="48" t="str"/>
      <x:c r="K47" s="48" t="str"/>
      <x:c r="L47" s="48" t="str">
        <x:v>ליבה</x:v>
      </x:c>
    </x:row>
    <x:row r="48" ht="26.399999618530273" hidden="0" customHeight="1">
      <x:c r="A48" s="45" t="str">
        <x:v>SOC-07</x:v>
      </x:c>
      <x:c r="B48" s="48" t="str">
        <x:v>זכויות סוציאליות</x:v>
      </x:c>
      <x:c r="C48" s="48" t="str">
        <x:v>קרן השתלמות</x:v>
      </x:c>
      <x:c r="D48" s="48" t="str">
        <x:v>האם קיימת זכאות לקרן השתלמות?</x:v>
      </x:c>
      <x:c r="E48" s="48" t="str">
        <x:v>בחירה יחידה</x:v>
      </x:c>
      <x:c r="F48" s="48" t="str">
        <x:v>כן, לכל העובדים | כן, לחלק מהעובדים | לא | לא יודעת</x:v>
      </x:c>
      <x:c r="G48" s="48" t="str">
        <x:v>GEN-04 &gt; 0</x:v>
      </x:c>
      <x:c r="H48" s="48" t="str">
        <x:v>אם כן → SOC-08.</x:v>
      </x:c>
      <x:c r="I48" s="48" t="str"/>
      <x:c r="J48" s="48" t="str"/>
      <x:c r="K48" s="48" t="str"/>
      <x:c r="L48" s="48" t="str">
        <x:v>ליבה</x:v>
      </x:c>
    </x:row>
    <x:row r="49" ht="26.399999618530273" hidden="0" customHeight="1">
      <x:c r="A49" s="45" t="str">
        <x:v>SOC-08</x:v>
      </x:c>
      <x:c r="B49" s="48" t="str">
        <x:v>זכויות סוציאליות</x:v>
      </x:c>
      <x:c r="C49" s="48" t="str">
        <x:v>קרן השתלמות</x:v>
      </x:c>
      <x:c r="D49" s="48" t="str">
        <x:v>מהם התנאים לקבלת קרן השתלמות?</x:v>
      </x:c>
      <x:c r="E49" s="48" t="str">
        <x:v>בחירה מרובה</x:v>
      </x:c>
      <x:c r="F49" s="48" t="str">
        <x:v>מהיום הראשון | לאחר ותק מסוים | לפי תפקיד | לפי דרג | לפי הסכם אישי | אחר | לא יודעת</x:v>
      </x:c>
      <x:c r="G49" s="48" t="str">
        <x:v>SOC-07 = כן</x:v>
      </x:c>
      <x:c r="H49" s="48" t="str"/>
      <x:c r="I49" s="48" t="str"/>
      <x:c r="J49" s="48" t="str">
        <x:v>להצליב עם הסכמי העבודה והפרקטיקה.</x:v>
      </x:c>
      <x:c r="K49" s="48" t="str"/>
      <x:c r="L49" s="48" t="str">
        <x:v>מותנה</x:v>
      </x:c>
    </x:row>
    <x:row r="50" ht="26.399999618530273" hidden="0" customHeight="1">
      <x:c r="A50" s="45" t="str">
        <x:v>HR-01</x:v>
      </x:c>
      <x:c r="B50" s="48" t="str">
        <x:v>ניהול עובדים וסיום העסקה</x:v>
      </x:c>
      <x:c r="C50" s="48" t="str">
        <x:v>מחלוקת פעילה</x:v>
      </x:c>
      <x:c r="D50" s="48" t="str">
        <x:v>האם קיימת כיום מחלוקת, תלונה או סוגיה מול עובד שמטרידה אותך?</x:v>
      </x:c>
      <x:c r="E50" s="48" t="str">
        <x:v>כן/לא</x:v>
      </x:c>
      <x:c r="F50" s="48" t="str">
        <x:v>כן | לא</x:v>
      </x:c>
      <x:c r="G50" s="48" t="str">
        <x:v>GEN-04 &gt; 0</x:v>
      </x:c>
      <x:c r="H50" s="48" t="str">
        <x:v>אם כן → שדה פתוח לתיאור קצר.</x:v>
      </x:c>
      <x:c r="I50" s="48" t="str"/>
      <x:c r="J50" s="48" t="str"/>
      <x:c r="K50" s="48" t="str">
        <x:v>ייעוץ משפטי נקודתי</x:v>
      </x:c>
      <x:c r="L50" s="48" t="str">
        <x:v>ליבה</x:v>
      </x:c>
    </x:row>
    <x:row r="51" ht="15" hidden="0" customHeight="1">
      <x:c r="A51" s="45" t="str">
        <x:v>TERM-01</x:v>
      </x:c>
      <x:c r="B51" s="48" t="str">
        <x:v>ניהול עובדים וסיום העסקה</x:v>
      </x:c>
      <x:c r="C51" s="48" t="str">
        <x:v>פיטורים</x:v>
      </x:c>
      <x:c r="D51" s="48" t="str">
        <x:v>האם פוטרו עובדים במהלך השנתיים האחרונות?</x:v>
      </x:c>
      <x:c r="E51" s="48" t="str">
        <x:v>כן/לא</x:v>
      </x:c>
      <x:c r="F51" s="48" t="str">
        <x:v>כן | לא</x:v>
      </x:c>
      <x:c r="G51" s="48" t="str">
        <x:v>GEN-05 &gt; 0 או GEN-04 &gt; 0</x:v>
      </x:c>
      <x:c r="H51" s="48" t="str">
        <x:v>אם כן → TERM-02–TERM-05.</x:v>
      </x:c>
      <x:c r="I51" s="48" t="str"/>
      <x:c r="J51" s="48" t="str"/>
      <x:c r="K51" s="48" t="str"/>
      <x:c r="L51" s="48" t="str">
        <x:v>ליבה</x:v>
      </x:c>
    </x:row>
    <x:row r="52" ht="15" hidden="0" customHeight="1">
      <x:c r="A52" s="45" t="str">
        <x:v>TERM-02</x:v>
      </x:c>
      <x:c r="B52" s="48" t="str">
        <x:v>ניהול עובדים וסיום העסקה</x:v>
      </x:c>
      <x:c r="C52" s="48" t="str">
        <x:v>שימוע</x:v>
      </x:c>
      <x:c r="D52" s="48" t="str">
        <x:v>האם בדרך כלל נשלח לעובד זימון לשימוע בכתב?</x:v>
      </x:c>
      <x:c r="E52" s="48" t="str">
        <x:v>בחירה יחידה</x:v>
      </x:c>
      <x:c r="F52" s="48" t="str">
        <x:v>תמיד | בדרך כלל | לפעמים | לא | לא יודעת</x:v>
      </x:c>
      <x:c r="G52" s="48" t="str">
        <x:v>TERM-01 = כן</x:v>
      </x:c>
      <x:c r="H52" s="48" t="str"/>
      <x:c r="I52" s="48" t="str"/>
      <x:c r="J52" s="48" t="str"/>
      <x:c r="K52" s="48" t="str"/>
      <x:c r="L52" s="48" t="str">
        <x:v>מותנה</x:v>
      </x:c>
    </x:row>
    <x:row r="53" ht="26.399999618530273" hidden="0" customHeight="1">
      <x:c r="A53" s="45" t="str">
        <x:v>TERM-03</x:v>
      </x:c>
      <x:c r="B53" s="48" t="str">
        <x:v>ניהול עובדים וסיום העסקה</x:v>
      </x:c>
      <x:c r="C53" s="48" t="str">
        <x:v>שימוע</x:v>
      </x:c>
      <x:c r="D53" s="48" t="str">
        <x:v>האם הזימון מפרט את הנימוקים שבגינם נשקל סיום ההעסקה?</x:v>
      </x:c>
      <x:c r="E53" s="48" t="str">
        <x:v>בחירה יחידה</x:v>
      </x:c>
      <x:c r="F53" s="48" t="str">
        <x:v>תמיד | בדרך כלל | לפעמים | לא | לא יודעת</x:v>
      </x:c>
      <x:c r="G53" s="48" t="str">
        <x:v>TERM-01 = כן</x:v>
      </x:c>
      <x:c r="H53" s="48" t="str"/>
      <x:c r="I53" s="48" t="str"/>
      <x:c r="J53" s="48" t="str"/>
      <x:c r="K53" s="48" t="str"/>
      <x:c r="L53" s="48" t="str">
        <x:v>מותנה</x:v>
      </x:c>
    </x:row>
    <x:row r="54" ht="15" hidden="0" customHeight="1">
      <x:c r="A54" s="45" t="str">
        <x:v>TERM-04</x:v>
      </x:c>
      <x:c r="B54" s="48" t="str">
        <x:v>ניהול עובדים וסיום העסקה</x:v>
      </x:c>
      <x:c r="C54" s="48" t="str">
        <x:v>שימוע</x:v>
      </x:c>
      <x:c r="D54" s="48" t="str">
        <x:v>האם נערך פרוטוקול או תיעוד מסודר של השימוע?</x:v>
      </x:c>
      <x:c r="E54" s="48" t="str">
        <x:v>בחירה יחידה</x:v>
      </x:c>
      <x:c r="F54" s="48" t="str">
        <x:v>תמיד | בדרך כלל | לפעמים | לא | לא יודעת</x:v>
      </x:c>
      <x:c r="G54" s="48" t="str">
        <x:v>TERM-01 = כן</x:v>
      </x:c>
      <x:c r="H54" s="48" t="str"/>
      <x:c r="I54" s="48" t="str"/>
      <x:c r="J54" s="48" t="str"/>
      <x:c r="K54" s="48" t="str"/>
      <x:c r="L54" s="48" t="str">
        <x:v>מותנה</x:v>
      </x:c>
    </x:row>
    <x:row r="55" ht="26.399999618530273" hidden="0" customHeight="1">
      <x:c r="A55" s="45" t="str">
        <x:v>TERM-05</x:v>
      </x:c>
      <x:c r="B55" s="48" t="str">
        <x:v>ניהול עובדים וסיום העסקה</x:v>
      </x:c>
      <x:c r="C55" s="48" t="str">
        <x:v>שימוע</x:v>
      </x:c>
      <x:c r="D55" s="48" t="str">
        <x:v>מתי מתקבלת בדרך כלל ההחלטה הסופית על הפיטורים?</x:v>
      </x:c>
      <x:c r="E55" s="48" t="str">
        <x:v>בחירה יחידה</x:v>
      </x:c>
      <x:c r="F55" s="48" t="str">
        <x:v>לפני השימוע | במהלך השימוע | לאחר השימוע | משתנה | לא יודעת</x:v>
      </x:c>
      <x:c r="G55" s="48" t="str">
        <x:v>TERM-01 = כן</x:v>
      </x:c>
      <x:c r="H55" s="48" t="str"/>
      <x:c r="I55" s="48" t="str"/>
      <x:c r="J55" s="48" t="str">
        <x:v>טריגר מהותי לבחינת תקינות הליך השימוע.</x:v>
      </x:c>
      <x:c r="K55" s="48" t="str"/>
      <x:c r="L55" s="48" t="str">
        <x:v>מותנה</x:v>
      </x:c>
    </x:row>
    <x:row r="56" ht="26.399999618530273" hidden="0" customHeight="1">
      <x:c r="A56" s="45" t="str">
        <x:v>TERM-06</x:v>
      </x:c>
      <x:c r="B56" s="48" t="str">
        <x:v>ניהול עובדים וסיום העסקה</x:v>
      </x:c>
      <x:c r="C56" s="48" t="str">
        <x:v>סיום צפוי</x:v>
      </x:c>
      <x:c r="D56" s="48" t="str">
        <x:v>האם קיימת כיום כוונה או אפשרות ממשית לסיים העסקתו של עובד?</x:v>
      </x:c>
      <x:c r="E56" s="48" t="str">
        <x:v>כן/לא</x:v>
      </x:c>
      <x:c r="F56" s="48" t="str">
        <x:v>כן | לא</x:v>
      </x:c>
      <x:c r="G56" s="48" t="str">
        <x:v>GEN-04 &gt; 0</x:v>
      </x:c>
      <x:c r="H56" s="48" t="str"/>
      <x:c r="I56" s="48" t="str"/>
      <x:c r="J56" s="48" t="str"/>
      <x:c r="K56" s="48" t="str">
        <x:v>ליווי שימוע וסיום העסקה</x:v>
      </x:c>
      <x:c r="L56" s="48" t="str">
        <x:v>ליבה</x:v>
      </x:c>
    </x:row>
    <x:row r="57" ht="39.599998474121094" hidden="0" customHeight="1">
      <x:c r="A57" s="45" t="str">
        <x:v>TERM-07</x:v>
      </x:c>
      <x:c r="B57" s="48" t="str">
        <x:v>ניהול עובדים וסיום העסקה</x:v>
      </x:c>
      <x:c r="C57" s="48" t="str">
        <x:v>אוכלוסיות מוגנות</x:v>
      </x:c>
      <x:c r="D57" s="48" t="str">
        <x:v>האם יש כיום עובד/ת בהריון, בתקופת לידה והורות/לאחריה, בטיפולי פוריות, במילואים, במחלה ממושכת או בנסיבה מיוחדת אחרת?</x:v>
      </x:c>
      <x:c r="E57" s="48" t="str">
        <x:v>בחירה יחידה</x:v>
      </x:c>
      <x:c r="F57" s="48" t="str">
        <x:v>כן | לא | לא יודעת</x:v>
      </x:c>
      <x:c r="G57" s="48" t="str">
        <x:v>GEN-04 &gt; 0</x:v>
      </x:c>
      <x:c r="H57" s="48" t="str">
        <x:v>אם כן → תיאור קטגוריה בלבד, ללא מידע רפואי מעבר לנדרש.</x:v>
      </x:c>
      <x:c r="I57" s="48" t="str"/>
      <x:c r="J57" s="48" t="str">
        <x:v>טריגר לבדיקה משפטית פרטנית לפני שינוי תנאים/פיטורים.</x:v>
      </x:c>
      <x:c r="K57" s="48" t="str"/>
      <x:c r="L57" s="48" t="str">
        <x:v>ליבה</x:v>
      </x:c>
    </x:row>
    <x:row r="58" ht="26.399999618530273" hidden="0" customHeight="1">
      <x:c r="A58" s="45" t="str">
        <x:v>HR-02</x:v>
      </x:c>
      <x:c r="B58" s="48" t="str">
        <x:v>ניהול עובדים וסיום העסקה</x:v>
      </x:c>
      <x:c r="C58" s="48" t="str">
        <x:v>הטרדה מינית</x:v>
      </x:c>
      <x:c r="D58" s="48" t="str">
        <x:v>האם מונה בעסק גורם אחראי לטיפול בתלונות על הטרדה מינית?</x:v>
      </x:c>
      <x:c r="E58" s="48" t="str">
        <x:v>כן/לא/לא יודעת</x:v>
      </x:c>
      <x:c r="F58" s="48" t="str">
        <x:v>כן | לא | לא יודעת</x:v>
      </x:c>
      <x:c r="G58" s="48" t="str">
        <x:v>GEN-04 &gt; 0</x:v>
      </x:c>
      <x:c r="H58" s="48" t="str"/>
      <x:c r="I58" s="48" t="str"/>
      <x:c r="J58" s="48" t="str"/>
      <x:c r="K58" s="48" t="str"/>
      <x:c r="L58" s="48" t="str">
        <x:v>ליבה</x:v>
      </x:c>
    </x:row>
    <x:row r="59" ht="26.399999618530273" hidden="0" customHeight="1">
      <x:c r="A59" s="45" t="str">
        <x:v>HR-03</x:v>
      </x:c>
      <x:c r="B59" s="48" t="str">
        <x:v>ניהול עובדים וסיום העסקה</x:v>
      </x:c>
      <x:c r="C59" s="48" t="str">
        <x:v>הטרדה מינית</x:v>
      </x:c>
      <x:c r="D59" s="48" t="str">
        <x:v>האם העובדים יודעים למי ניתן לפנות במקרה של תלונה על הטרדה מינית?</x:v>
      </x:c>
      <x:c r="E59" s="48" t="str">
        <x:v>כן/לא/לא יודעת</x:v>
      </x:c>
      <x:c r="F59" s="48" t="str">
        <x:v>כן | לא | לא יודעת</x:v>
      </x:c>
      <x:c r="G59" s="48" t="str">
        <x:v>GEN-04 &gt; 0</x:v>
      </x:c>
      <x:c r="H59" s="48" t="str"/>
      <x:c r="I59" s="48" t="str"/>
      <x:c r="J59" s="48" t="str"/>
      <x:c r="K59" s="48" t="str"/>
      <x:c r="L59" s="48" t="str">
        <x:v>ליבה</x:v>
      </x:c>
    </x:row>
    <x:row r="60" ht="26.399999618530273" hidden="0" customHeight="1">
      <x:c r="A60" s="45" t="str">
        <x:v>HR-04</x:v>
      </x:c>
      <x:c r="B60" s="48" t="str">
        <x:v>ניהול עובדים וסיום העסקה</x:v>
      </x:c>
      <x:c r="C60" s="48" t="str">
        <x:v>הטרדה מינית</x:v>
      </x:c>
      <x:c r="D60" s="48" t="str">
        <x:v>האם קיים ומפורסם בעסק תקנון מותאם למניעת הטרדה מינית?</x:v>
      </x:c>
      <x:c r="E60" s="48" t="str">
        <x:v>כן/לא/לא יודעת</x:v>
      </x:c>
      <x:c r="F60" s="48" t="str">
        <x:v>כן | לא | לא יודעת</x:v>
      </x:c>
      <x:c r="G60" s="48" t="str">
        <x:v>GEN-04 &gt; 25</x:v>
      </x:c>
      <x:c r="H60" s="48" t="str"/>
      <x:c r="I60" s="48" t="str">
        <x:v>תקנון למניעת הטרדה מינית</x:v>
      </x:c>
      <x:c r="J60" s="48" t="str">
        <x:v>הטריגר מבוסס מספר עובדים; לבדוק גם אופן הפרסום וההתאמה לעסק.</x:v>
      </x:c>
      <x:c r="K60" s="48" t="str"/>
      <x:c r="L60" s="48" t="str">
        <x:v>מותנה</x:v>
      </x:c>
    </x:row>
    <x:row r="61" ht="26.399999618530273" hidden="0" customHeight="1">
      <x:c r="A61" s="45" t="str">
        <x:v>LIT-01</x:v>
      </x:c>
      <x:c r="B61" s="48" t="str">
        <x:v>ניהול עובדים וסיום העסקה</x:v>
      </x:c>
      <x:c r="C61" s="48" t="str">
        <x:v>הליכים</x:v>
      </x:c>
      <x:c r="D61" s="48" t="str">
        <x:v>האם העסק היה צד להליך משפטי או מינהלי בתחום יחסי העבודה במהלך 5 השנים האחרונות?</x:v>
      </x:c>
      <x:c r="E61" s="48" t="str">
        <x:v>כן/לא/לא יודעת</x:v>
      </x:c>
      <x:c r="F61" s="48" t="str">
        <x:v>כן | לא | לא יודעת</x:v>
      </x:c>
      <x:c r="G61" s="48" t="str">
        <x:v>תמיד</x:v>
      </x:c>
      <x:c r="H61" s="48" t="str">
        <x:v>אם כן → LIT-02.</x:v>
      </x:c>
      <x:c r="I61" s="48" t="str"/>
      <x:c r="J61" s="48" t="str"/>
      <x:c r="K61" s="48" t="str"/>
      <x:c r="L61" s="48" t="str">
        <x:v>ליבה</x:v>
      </x:c>
    </x:row>
    <x:row r="62" ht="26.399999618530273" hidden="0" customHeight="1">
      <x:c r="A62" s="45" t="str">
        <x:v>LIT-02</x:v>
      </x:c>
      <x:c r="B62" s="48" t="str">
        <x:v>ניהול עובדים וסיום העסקה</x:v>
      </x:c>
      <x:c r="C62" s="48" t="str">
        <x:v>הליכים</x:v>
      </x:c>
      <x:c r="D62" s="48" t="str">
        <x:v>אם כן, נא לציין בקצרה את נושא ההליך ומספר ההליך, ככל שידוע.</x:v>
      </x:c>
      <x:c r="E62" s="48" t="str">
        <x:v>טקסט קצר</x:v>
      </x:c>
      <x:c r="F62" s="48" t="str"/>
      <x:c r="G62" s="48" t="str">
        <x:v>LIT-01 = כן</x:v>
      </x:c>
      <x:c r="H62" s="48" t="str"/>
      <x:c r="I62" s="48" t="str">
        <x:v>כתב תביעה/פסק דין/הסכם פשרה – אופציונלי</x:v>
      </x:c>
      <x:c r="J62" s="48" t="str">
        <x:v>אפשר לנסות איתור ציבורי לפי מספר תיק; אין להסתמך על חיפוש שמי בלבד.</x:v>
      </x:c>
      <x:c r="K62" s="48" t="str"/>
      <x:c r="L62" s="48" t="str">
        <x:v>מותנה</x:v>
      </x:c>
    </x:row>
    <x:row r="63" ht="26.399999618530273" hidden="0" customHeight="1">
      <x:c r="A63" s="45" t="str">
        <x:v>FR-01</x:v>
      </x:c>
      <x:c r="B63" s="48" t="str">
        <x:v>פרילנסרים</x:v>
      </x:c>
      <x:c r="C63" s="48" t="str">
        <x:v>הסכם</x:v>
      </x:c>
      <x:c r="D63" s="48" t="str">
        <x:v>האם קיים הסכם שירותים בכתב עם כל הפרילנסרים/נותני השירות הקבועים?</x:v>
      </x:c>
      <x:c r="E63" s="48" t="str">
        <x:v>בחירה יחידה</x:v>
      </x:c>
      <x:c r="F63" s="48" t="str">
        <x:v>כן, עם כולם | עם חלקם | לא | לא יודעת</x:v>
      </x:c>
      <x:c r="G63" s="48" t="str">
        <x:v>GEN-06 &gt; 0</x:v>
      </x:c>
      <x:c r="H63" s="48" t="str">
        <x:v>אם קיים → העלאת הסכם מייצג.</x:v>
      </x:c>
      <x:c r="I63" s="48" t="str">
        <x:v>הסכם פרילנסר/נותן שירות</x:v>
      </x:c>
      <x:c r="J63" s="48" t="str">
        <x:v>לנתח את ההסכם אך לא להסתמך על הכותרת 'קבלן עצמאי' כמכריעה.</x:v>
      </x:c>
      <x:c r="K63" s="48" t="str">
        <x:v>בדיקת סיווג פרילנסרים</x:v>
      </x:c>
      <x:c r="L63" s="48" t="str">
        <x:v>מותנה</x:v>
      </x:c>
    </x:row>
    <x:row r="64" ht="26.399999618530273" hidden="0" customHeight="1">
      <x:c r="A64" s="45" t="str">
        <x:v>FR-02</x:v>
      </x:c>
      <x:c r="B64" s="48" t="str">
        <x:v>פרילנסרים</x:v>
      </x:c>
      <x:c r="C64" s="48" t="str">
        <x:v>משך קשר</x:v>
      </x:c>
      <x:c r="D64" s="48" t="str">
        <x:v>כמה זמן, בממוצע, נותני השירות המרכזיים עובדים עם העסק?</x:v>
      </x:c>
      <x:c r="E64" s="48" t="str">
        <x:v>בחירה יחידה</x:v>
      </x:c>
      <x:c r="F64" s="48" t="str">
        <x:v>עד 3 חודשים | 3–12 חודשים | 1–3 שנים | מעל 3 שנים | משתנה מאוד</x:v>
      </x:c>
      <x:c r="G64" s="48" t="str">
        <x:v>GEN-06 &gt; 0</x:v>
      </x:c>
      <x:c r="H64" s="48" t="str"/>
      <x:c r="I64" s="48" t="str"/>
      <x:c r="J64" s="48" t="str"/>
      <x:c r="K64" s="48" t="str"/>
      <x:c r="L64" s="48" t="str">
        <x:v>מותנה</x:v>
      </x:c>
    </x:row>
    <x:row r="65" ht="26.399999618530273" hidden="0" customHeight="1">
      <x:c r="A65" s="45" t="str">
        <x:v>FR-03</x:v>
      </x:c>
      <x:c r="B65" s="48" t="str">
        <x:v>פרילנסרים</x:v>
      </x:c>
      <x:c r="C65" s="48" t="str">
        <x:v>תשלום</x:v>
      </x:c>
      <x:c r="D65" s="48" t="str">
        <x:v>כיצד משולם נותן השירות המרכזי?</x:v>
      </x:c>
      <x:c r="E65" s="48" t="str">
        <x:v>בחירה מרובה</x:v>
      </x:c>
      <x:c r="F65" s="48" t="str">
        <x:v>סכום חודשי קבוע | לפי שעות | לפי פרויקט | לפי תפוקה/עסקה | אחר</x:v>
      </x:c>
      <x:c r="G65" s="48" t="str">
        <x:v>GEN-06 &gt; 0</x:v>
      </x:c>
      <x:c r="H65" s="48" t="str"/>
      <x:c r="I65" s="48" t="str"/>
      <x:c r="J65" s="48" t="str"/>
      <x:c r="K65" s="48" t="str"/>
      <x:c r="L65" s="48" t="str">
        <x:v>מותנה</x:v>
      </x:c>
    </x:row>
    <x:row r="66" ht="26.399999618530273" hidden="0" customHeight="1">
      <x:c r="A66" s="45" t="str">
        <x:v>FR-04</x:v>
      </x:c>
      <x:c r="B66" s="48" t="str">
        <x:v>פרילנסרים</x:v>
      </x:c>
      <x:c r="C66" s="48" t="str">
        <x:v>לקוחות נוספים</x:v>
      </x:c>
      <x:c r="D66" s="48" t="str">
        <x:v>האם נותן השירות המרכזי נותן שירותים גם ללקוחות אחרים?</x:v>
      </x:c>
      <x:c r="E66" s="48" t="str">
        <x:v>בחירה יחידה</x:v>
      </x:c>
      <x:c r="F66" s="48" t="str">
        <x:v>כן | לא | לא יודעת</x:v>
      </x:c>
      <x:c r="G66" s="48" t="str">
        <x:v>GEN-06 &gt; 0</x:v>
      </x:c>
      <x:c r="H66" s="48" t="str"/>
      <x:c r="I66" s="48" t="str"/>
      <x:c r="J66" s="48" t="str"/>
      <x:c r="K66" s="48" t="str"/>
      <x:c r="L66" s="48" t="str">
        <x:v>מותנה</x:v>
      </x:c>
    </x:row>
    <x:row r="67" ht="26.399999618530273" hidden="0" customHeight="1">
      <x:c r="A67" s="45" t="str">
        <x:v>FR-05</x:v>
      </x:c>
      <x:c r="B67" s="48" t="str">
        <x:v>פרילנסרים</x:v>
      </x:c>
      <x:c r="C67" s="48" t="str">
        <x:v>שעות</x:v>
      </x:c>
      <x:c r="D67" s="48" t="str">
        <x:v>מי קובע את שעות הפעילות של נותן השירות?</x:v>
      </x:c>
      <x:c r="E67" s="48" t="str">
        <x:v>בחירה יחידה</x:v>
      </x:c>
      <x:c r="F67" s="48" t="str">
        <x:v>העסק | נותן השירות | נקבעות יחד | אין שעות קבועות</x:v>
      </x:c>
      <x:c r="G67" s="48" t="str">
        <x:v>GEN-06 &gt; 0</x:v>
      </x:c>
      <x:c r="H67" s="48" t="str"/>
      <x:c r="I67" s="48" t="str"/>
      <x:c r="J67" s="48" t="str"/>
      <x:c r="K67" s="48" t="str"/>
      <x:c r="L67" s="48" t="str">
        <x:v>מותנה</x:v>
      </x:c>
    </x:row>
    <x:row r="68" ht="26.399999618530273" hidden="0" customHeight="1">
      <x:c r="A68" s="45" t="str">
        <x:v>FR-06</x:v>
      </x:c>
      <x:c r="B68" s="48" t="str">
        <x:v>פרילנסרים</x:v>
      </x:c>
      <x:c r="C68" s="48" t="str">
        <x:v>ביצוע אישי</x:v>
      </x:c>
      <x:c r="D68" s="48" t="str">
        <x:v>האם נותן השירות חייב לבצע את העבודה באופן אישי, או שהוא יכול להיעזר/להחליף את עצמו באדם אחר?</x:v>
      </x:c>
      <x:c r="E68" s="48" t="str">
        <x:v>בחירה יחידה</x:v>
      </x:c>
      <x:c r="F68" s="48" t="str">
        <x:v>חייב לבצע אישית | יכול להיעזר באחרים | תלוי באישור העסק | לא יודעת</x:v>
      </x:c>
      <x:c r="G68" s="48" t="str">
        <x:v>GEN-06 &gt; 0</x:v>
      </x:c>
      <x:c r="H68" s="48" t="str"/>
      <x:c r="I68" s="48" t="str"/>
      <x:c r="J68" s="48" t="str"/>
      <x:c r="K68" s="48" t="str"/>
      <x:c r="L68" s="48" t="str">
        <x:v>מותנה</x:v>
      </x:c>
    </x:row>
    <x:row r="69" ht="26.399999618530273" hidden="0" customHeight="1">
      <x:c r="A69" s="45" t="str">
        <x:v>FR-07</x:v>
      </x:c>
      <x:c r="B69" s="48" t="str">
        <x:v>פרילנסרים</x:v>
      </x:c>
      <x:c r="C69" s="48" t="str">
        <x:v>כפיפות</x:v>
      </x:c>
      <x:c r="D69" s="48" t="str">
        <x:v>האם יש לנותן השירות מנהל/ת מטעם העסק שנותן/ת לו הוראות מקצועיות שוטפות?</x:v>
      </x:c>
      <x:c r="E69" s="48" t="str">
        <x:v>בחירה יחידה</x:v>
      </x:c>
      <x:c r="F69" s="48" t="str">
        <x:v>כן | במידה מוגבלת | לא</x:v>
      </x:c>
      <x:c r="G69" s="48" t="str">
        <x:v>GEN-06 &gt; 0</x:v>
      </x:c>
      <x:c r="H69" s="48" t="str"/>
      <x:c r="I69" s="48" t="str"/>
      <x:c r="J69" s="48" t="str"/>
      <x:c r="K69" s="48" t="str"/>
      <x:c r="L69" s="48" t="str">
        <x:v>מותנה</x:v>
      </x:c>
    </x:row>
    <x:row r="70" ht="26.399999618530273" hidden="0" customHeight="1">
      <x:c r="A70" s="45" t="str">
        <x:v>FR-08</x:v>
      </x:c>
      <x:c r="B70" s="48" t="str">
        <x:v>פרילנסרים</x:v>
      </x:c>
      <x:c r="C70" s="48" t="str">
        <x:v>מקום עבודה</x:v>
      </x:c>
      <x:c r="D70" s="48" t="str">
        <x:v>היכן נותן השירות מבצע בדרך כלל את עבודתו?</x:v>
      </x:c>
      <x:c r="E70" s="48" t="str">
        <x:v>בחירה יחידה</x:v>
      </x:c>
      <x:c r="F70" s="48" t="str">
        <x:v>במשרדי העסק | ממשרדו/ביתו | אצל לקוחות | משתנה</x:v>
      </x:c>
      <x:c r="G70" s="48" t="str">
        <x:v>GEN-06 &gt; 0</x:v>
      </x:c>
      <x:c r="H70" s="48" t="str"/>
      <x:c r="I70" s="48" t="str"/>
      <x:c r="J70" s="48" t="str"/>
      <x:c r="K70" s="48" t="str"/>
      <x:c r="L70" s="48" t="str">
        <x:v>מותנה</x:v>
      </x:c>
    </x:row>
    <x:row r="71" ht="15" hidden="0" customHeight="1">
      <x:c r="A71" s="45" t="str">
        <x:v>FR-09</x:v>
      </x:c>
      <x:c r="B71" s="48" t="str">
        <x:v>פרילנסרים</x:v>
      </x:c>
      <x:c r="C71" s="48" t="str">
        <x:v>ציוד</x:v>
      </x:c>
      <x:c r="D71" s="48" t="str">
        <x:v>מי מספק את עיקר הציוד והכלים הדרושים לעבודה?</x:v>
      </x:c>
      <x:c r="E71" s="48" t="str">
        <x:v>בחירה יחידה</x:v>
      </x:c>
      <x:c r="F71" s="48" t="str">
        <x:v>העסק | נותן השירות | משולב</x:v>
      </x:c>
      <x:c r="G71" s="48" t="str">
        <x:v>GEN-06 &gt; 0</x:v>
      </x:c>
      <x:c r="H71" s="48" t="str"/>
      <x:c r="I71" s="48" t="str"/>
      <x:c r="J71" s="48" t="str"/>
      <x:c r="K71" s="48" t="str"/>
      <x:c r="L71" s="48" t="str">
        <x:v>מותנה</x:v>
      </x:c>
    </x:row>
    <x:row r="72" ht="39.599998474121094" hidden="0" customHeight="1">
      <x:c r="A72" s="45" t="str">
        <x:v>FR-10</x:v>
      </x:c>
      <x:c r="B72" s="48" t="str">
        <x:v>פרילנסרים</x:v>
      </x:c>
      <x:c r="C72" s="48" t="str">
        <x:v>השתלבות</x:v>
      </x:c>
      <x:c r="D72" s="48" t="str">
        <x:v>האם לנותן השירות יש כתובת דוא"ל של העסק, הרשאה למערכות, כרטיס ביקור או הצגה באתר כחלק מצוות העסק?</x:v>
      </x:c>
      <x:c r="E72" s="48" t="str">
        <x:v>בחירה יחידה</x:v>
      </x:c>
      <x:c r="F72" s="48" t="str">
        <x:v>כן | חלק מהדברים | לא</x:v>
      </x:c>
      <x:c r="G72" s="48" t="str">
        <x:v>GEN-06 &gt; 0</x:v>
      </x:c>
      <x:c r="H72" s="48" t="str"/>
      <x:c r="I72" s="48" t="str"/>
      <x:c r="J72" s="48" t="str"/>
      <x:c r="K72" s="48" t="str"/>
      <x:c r="L72" s="48" t="str">
        <x:v>מותנה</x:v>
      </x:c>
    </x:row>
    <x:row r="73" ht="26.399999618530273" hidden="0" customHeight="1">
      <x:c r="A73" s="45" t="str">
        <x:v>FR-11</x:v>
      </x:c>
      <x:c r="B73" s="48" t="str">
        <x:v>פרילנסרים</x:v>
      </x:c>
      <x:c r="C73" s="48" t="str">
        <x:v>השתלבות</x:v>
      </x:c>
      <x:c r="D73" s="48" t="str">
        <x:v>האם נותן השירות משתתף באופן שוטף בישיבות צוות, הדרכות או פעילויות עובדים?</x:v>
      </x:c>
      <x:c r="E73" s="48" t="str">
        <x:v>בחירה יחידה</x:v>
      </x:c>
      <x:c r="F73" s="48" t="str">
        <x:v>כן | לעיתים | לא</x:v>
      </x:c>
      <x:c r="G73" s="48" t="str">
        <x:v>GEN-06 &gt; 0</x:v>
      </x:c>
      <x:c r="H73" s="48" t="str"/>
      <x:c r="I73" s="48" t="str"/>
      <x:c r="J73" s="48" t="str"/>
      <x:c r="K73" s="48" t="str"/>
      <x:c r="L73" s="48" t="str">
        <x:v>מותנה</x:v>
      </x:c>
    </x:row>
    <x:row r="74" ht="26.399999618530273" hidden="0" customHeight="1">
      <x:c r="A74" s="45" t="str">
        <x:v>FR-12</x:v>
      </x:c>
      <x:c r="B74" s="48" t="str">
        <x:v>פרילנסרים</x:v>
      </x:c>
      <x:c r="C74" s="48" t="str">
        <x:v>חופשות</x:v>
      </x:c>
      <x:c r="D74" s="48" t="str">
        <x:v>האם נותן השירות נדרש לקבל אישור לחופשה או להיעדרות?</x:v>
      </x:c>
      <x:c r="E74" s="48" t="str">
        <x:v>בחירה יחידה</x:v>
      </x:c>
      <x:c r="F74" s="48" t="str">
        <x:v>כן | רק לתאם מראש | לא</x:v>
      </x:c>
      <x:c r="G74" s="48" t="str">
        <x:v>GEN-06 &gt; 0</x:v>
      </x:c>
      <x:c r="H74" s="48" t="str"/>
      <x:c r="I74" s="48" t="str"/>
      <x:c r="J74" s="48" t="str"/>
      <x:c r="K74" s="48" t="str"/>
      <x:c r="L74" s="48" t="str">
        <x:v>מותנה</x:v>
      </x:c>
    </x:row>
    <x:row r="75" ht="26.399999618530273" hidden="0" customHeight="1">
      <x:c r="A75" s="45" t="str">
        <x:v>FR-13</x:v>
      </x:c>
      <x:c r="B75" s="48" t="str">
        <x:v>פרילנסרים</x:v>
      </x:c>
      <x:c r="C75" s="48" t="str">
        <x:v>השוואה לעובדים</x:v>
      </x:c>
      <x:c r="D75" s="48" t="str">
        <x:v>האם עובדים שכירים בעסק מבצעים עבודה דומה או זהה לעבודתו של נותן השירות?</x:v>
      </x:c>
      <x:c r="E75" s="48" t="str">
        <x:v>בחירה יחידה</x:v>
      </x:c>
      <x:c r="F75" s="48" t="str">
        <x:v>כן | חלקית | לא</x:v>
      </x:c>
      <x:c r="G75" s="48" t="str">
        <x:v>GEN-06 &gt; 0</x:v>
      </x:c>
      <x:c r="H75" s="48" t="str"/>
      <x:c r="I75" s="48" t="str"/>
      <x:c r="J75" s="48" t="str"/>
      <x:c r="K75" s="48" t="str"/>
      <x:c r="L75" s="48" t="str">
        <x:v>מותנה</x:v>
      </x:c>
    </x:row>
    <x:row r="76" ht="26.399999618530273" hidden="0" customHeight="1">
      <x:c r="A76" s="45" t="str">
        <x:v>FR-14</x:v>
      </x:c>
      <x:c r="B76" s="48" t="str">
        <x:v>פרילנסרים</x:v>
      </x:c>
      <x:c r="C76" s="48" t="str">
        <x:v>היסטוריית קשר</x:v>
      </x:c>
      <x:c r="D76" s="48" t="str">
        <x:v>האם נותן השירות היה בעבר עובד שכיר של העסק, או עבר בהמשך להיות עובד שכיר?</x:v>
      </x:c>
      <x:c r="E76" s="48" t="str">
        <x:v>בחירה יחידה</x:v>
      </x:c>
      <x:c r="F76" s="48" t="str">
        <x:v>כן | לא</x:v>
      </x:c>
      <x:c r="G76" s="48" t="str">
        <x:v>GEN-06 &gt; 0</x:v>
      </x:c>
      <x:c r="H76" s="48" t="str"/>
      <x:c r="I76" s="48" t="str"/>
      <x:c r="J76" s="48" t="str">
        <x:v>טריגר משמעותי לבחינת שינוי הסיווג והקשר בפועל.</x:v>
      </x:c>
      <x:c r="K76" s="48" t="str"/>
      <x:c r="L76" s="48" t="str">
        <x:v>מותנה</x:v>
      </x:c>
    </x:row>
    <x:row r="77" ht="52.79999923706055" hidden="0" customHeight="1">
      <x:c r="A77" s="45" t="str">
        <x:v>PRIV-01</x:v>
      </x:c>
      <x:c r="B77" s="48" t="str">
        <x:v>פרטיות במקום העבודה</x:v>
      </x:c>
      <x:c r="C77" s="48" t="str">
        <x:v>מיפוי מידע</x:v>
      </x:c>
      <x:c r="D77" s="48" t="str">
        <x:v>איזה מידע אישי נשמר על עובדים במסגרת העסק?</x:v>
      </x:c>
      <x:c r="E77" s="48" t="str">
        <x:v>בחירה מרובה</x:v>
      </x:c>
      <x:c r="F77" s="48" t="str">
        <x:v>פרטי זיהוי וקשר | חשבון בנק | שכר | פנסיה | אישורי מחלה/מידע רפואי | מידע על בני משפחה | נתוני נוכחות | נתוני מיקום | צילומי מצלמות | מידע ביומטרי | הערכות ביצועים/משמעת | אחר</x:v>
      </x:c>
      <x:c r="G77" s="48" t="str">
        <x:v>GEN-04 &gt; 0</x:v>
      </x:c>
      <x:c r="H77" s="48" t="str"/>
      <x:c r="I77" s="48" t="str"/>
      <x:c r="J77" s="48" t="str">
        <x:v>לבנות Inventory של מידע עובדים; חלק מהקטגוריות הן מידע בעל רגישות מיוחדת.</x:v>
      </x:c>
      <x:c r="K77" s="48" t="str"/>
      <x:c r="L77" s="48" t="str">
        <x:v>ליבה</x:v>
      </x:c>
    </x:row>
    <x:row r="78" ht="39.599998474121094" hidden="0" customHeight="1">
      <x:c r="A78" s="45" t="str">
        <x:v>PRIV-02</x:v>
      </x:c>
      <x:c r="B78" s="48" t="str">
        <x:v>פרטיות במקום העבודה</x:v>
      </x:c>
      <x:c r="C78" s="48" t="str">
        <x:v>מיקום מידע</x:v>
      </x:c>
      <x:c r="D78" s="48" t="str">
        <x:v>באילו מערכות או מקומות נשמר מידע על עובדים?</x:v>
      </x:c>
      <x:c r="E78" s="48" t="str">
        <x:v>בחירה מרובה</x:v>
      </x:c>
      <x:c r="F78" s="48" t="str">
        <x:v>מערכת שכר | מערכת HR | שרת החברה | שירות ענן | מחשב אישי | דוא"ל | WhatsApp | תיקי נייר | אצל ספק חיצוני | אחר</x:v>
      </x:c>
      <x:c r="G78" s="48" t="str">
        <x:v>GEN-04 &gt; 0</x:v>
      </x:c>
      <x:c r="H78" s="48" t="str"/>
      <x:c r="I78" s="48" t="str"/>
      <x:c r="J78" s="48" t="str">
        <x:v>לזהות פיזור מידע, ספקים וגישה לא מבוקרת.</x:v>
      </x:c>
      <x:c r="K78" s="48" t="str"/>
      <x:c r="L78" s="48" t="str">
        <x:v>ליבה</x:v>
      </x:c>
    </x:row>
    <x:row r="79" ht="39.599998474121094" hidden="0" customHeight="1">
      <x:c r="A79" s="45" t="str">
        <x:v>PRIV-03</x:v>
      </x:c>
      <x:c r="B79" s="48" t="str">
        <x:v>פרטיות במקום העבודה</x:v>
      </x:c>
      <x:c r="C79" s="48" t="str">
        <x:v>יידוע</x:v>
      </x:c>
      <x:c r="D79" s="48" t="str">
        <x:v>האם העובדים מקבלים מסמך שמסביר איזה מידע אישי נאסף עליהם, מדוע, כיצד משתמשים בו ולמי הוא עשוי להימסר?</x:v>
      </x:c>
      <x:c r="E79" s="48" t="str">
        <x:v>בחירה יחידה</x:v>
      </x:c>
      <x:c r="F79" s="48" t="str">
        <x:v>כן, מדיניות/הודעת פרטיות נפרדת | יש התייחסות בהסכם העבודה | באופן חלקי | לא | לא יודעת</x:v>
      </x:c>
      <x:c r="G79" s="48" t="str">
        <x:v>GEN-04 &gt; 0</x:v>
      </x:c>
      <x:c r="H79" s="48" t="str">
        <x:v>אם קיים מסמך → העלאה.</x:v>
      </x:c>
      <x:c r="I79" s="48" t="str">
        <x:v>הודעת/מדיניות פרטיות לעובדים</x:v>
      </x:c>
      <x:c r="J79" s="48" t="str">
        <x:v>לבדוק התאמה לחובות היידוע לפי הדין המעודכן.</x:v>
      </x:c>
      <x:c r="K79" s="48" t="str">
        <x:v>הודעת פרטיות לעובדים</x:v>
      </x:c>
      <x:c r="L79" s="48" t="str">
        <x:v>ליבה</x:v>
      </x:c>
    </x:row>
    <x:row r="80" ht="39.599998474121094" hidden="0" customHeight="1">
      <x:c r="A80" s="45" t="str">
        <x:v>PRIV-04</x:v>
      </x:c>
      <x:c r="B80" s="48" t="str">
        <x:v>פרטיות במקום העבודה</x:v>
      </x:c>
      <x:c r="C80" s="48" t="str">
        <x:v>גישה למידע</x:v>
      </x:c>
      <x:c r="D80" s="48" t="str">
        <x:v>מי יכול לגשת לתיקי עובדים או למידע אישי על עובדים?</x:v>
      </x:c>
      <x:c r="E80" s="48" t="str">
        <x:v>בחירה מרובה</x:v>
      </x:c>
      <x:c r="F80" s="48" t="str">
        <x:v>בעל/ת העסק | HR | מנהלים | הנהלת חשבונות | חשבת שכר/רו"ח | IT | ספקים חיצוניים | עובדים נוספים</x:v>
      </x:c>
      <x:c r="G80" s="48" t="str">
        <x:v>GEN-04 &gt; 0</x:v>
      </x:c>
      <x:c r="H80" s="48" t="str"/>
      <x:c r="I80" s="48" t="str"/>
      <x:c r="J80" s="48" t="str">
        <x:v>לבחון עקרון Need-to-know והרשאות לפי תפקיד.</x:v>
      </x:c>
      <x:c r="K80" s="48" t="str"/>
      <x:c r="L80" s="48" t="str">
        <x:v>ליבה</x:v>
      </x:c>
    </x:row>
    <x:row r="81" ht="26.399999618530273" hidden="0" customHeight="1">
      <x:c r="A81" s="45" t="str">
        <x:v>PRIV-05</x:v>
      </x:c>
      <x:c r="B81" s="48" t="str">
        <x:v>פרטיות במקום העבודה</x:v>
      </x:c>
      <x:c r="C81" s="48" t="str">
        <x:v>חשבונות והרשאות</x:v>
      </x:c>
      <x:c r="D81" s="48" t="str">
        <x:v>האם קיימים חשבונות משתמש משותפים למספר עובדים במערכות שבהן נשמר מידע אישי?</x:v>
      </x:c>
      <x:c r="E81" s="48" t="str">
        <x:v>בחירה יחידה</x:v>
      </x:c>
      <x:c r="F81" s="48" t="str">
        <x:v>כן | לא | לא יודעת</x:v>
      </x:c>
      <x:c r="G81" s="48" t="str">
        <x:v>GEN-04 &gt; 0</x:v>
      </x:c>
      <x:c r="H81" s="48" t="str"/>
      <x:c r="I81" s="48" t="str"/>
      <x:c r="J81" s="48" t="str">
        <x:v>דגל לאבטחת מידע והרשאות.</x:v>
      </x:c>
      <x:c r="K81" s="48" t="str"/>
      <x:c r="L81" s="48" t="str">
        <x:v>ליבה</x:v>
      </x:c>
    </x:row>
    <x:row r="82" ht="39.599998474121094" hidden="0" customHeight="1">
      <x:c r="A82" s="45" t="str">
        <x:v>PRIV-06</x:v>
      </x:c>
      <x:c r="B82" s="48" t="str">
        <x:v>פרטיות במקום העבודה</x:v>
      </x:c>
      <x:c r="C82" s="48" t="str">
        <x:v>ספקים</x:v>
      </x:c>
      <x:c r="D82" s="48" t="str">
        <x:v>לאילו גורמים חיצוניים יש גישה למידע על עובדים?</x:v>
      </x:c>
      <x:c r="E82" s="48" t="str">
        <x:v>בחירה מרובה</x:v>
      </x:c>
      <x:c r="F82" s="48" t="str">
        <x:v>חשבת שכר/רו"ח | חברת IT | מערכת נוכחות | מערכת HR | חברת פנסיה/ביטוח | שירות ענן | מגייסים | אחר | אין</x:v>
      </x:c>
      <x:c r="G82" s="48" t="str">
        <x:v>GEN-04 &gt; 0</x:v>
      </x:c>
      <x:c r="H82" s="48" t="str">
        <x:v>אם יש ספקים → PRIV-07.</x:v>
      </x:c>
      <x:c r="I82" s="48" t="str"/>
      <x:c r="J82" s="48" t="str"/>
      <x:c r="K82" s="48" t="str"/>
      <x:c r="L82" s="48" t="str">
        <x:v>ליבה</x:v>
      </x:c>
    </x:row>
    <x:row r="83" ht="26.399999618530273" hidden="0" customHeight="1">
      <x:c r="A83" s="45" t="str">
        <x:v>PRIV-07</x:v>
      </x:c>
      <x:c r="B83" s="48" t="str">
        <x:v>פרטיות במקום העבודה</x:v>
      </x:c>
      <x:c r="C83" s="48" t="str">
        <x:v>ספקים</x:v>
      </x:c>
      <x:c r="D83" s="48" t="str">
        <x:v>האם קיימים הסכמים המסדירים את הטיפול של אותם ספקים במידע האישי?</x:v>
      </x:c>
      <x:c r="E83" s="48" t="str">
        <x:v>בחירה יחידה</x:v>
      </x:c>
      <x:c r="F83" s="48" t="str">
        <x:v>כן, עם כולם | עם חלקם | לא | לא יודעת</x:v>
      </x:c>
      <x:c r="G83" s="48" t="str">
        <x:v>PRIV-06 ≠ אין</x:v>
      </x:c>
      <x:c r="H83" s="48" t="str"/>
      <x:c r="I83" s="48" t="str"/>
      <x:c r="J83" s="48" t="str">
        <x:v>לבחון התקשרויות עם מחזיקים/מעבדים חיצוניים והוראות אבטחת מידע.</x:v>
      </x:c>
      <x:c r="K83" s="48" t="str">
        <x:v>הסכמי עיבוד/נספחי פרטיות</x:v>
      </x:c>
      <x:c r="L83" s="48" t="str">
        <x:v>מותנה</x:v>
      </x:c>
    </x:row>
    <x:row r="84" ht="15" hidden="0" customHeight="1">
      <x:c r="A84" s="45" t="str">
        <x:v>PRIV-08</x:v>
      </x:c>
      <x:c r="B84" s="48" t="str">
        <x:v>פרטיות במקום העבודה</x:v>
      </x:c>
      <x:c r="C84" s="48" t="str">
        <x:v>מצלמות</x:v>
      </x:c>
      <x:c r="D84" s="48" t="str">
        <x:v>האם קיימות מצלמות במרחב העבודה?</x:v>
      </x:c>
      <x:c r="E84" s="48" t="str">
        <x:v>כן/לא</x:v>
      </x:c>
      <x:c r="F84" s="48" t="str">
        <x:v>כן | לא</x:v>
      </x:c>
      <x:c r="G84" s="48" t="str">
        <x:v>GEN-04 &gt; 0</x:v>
      </x:c>
      <x:c r="H84" s="48" t="str">
        <x:v>אם כן → PRIV-09–PRIV-16.</x:v>
      </x:c>
      <x:c r="I84" s="48" t="str"/>
      <x:c r="J84" s="48" t="str"/>
      <x:c r="K84" s="48" t="str">
        <x:v>בדיקת חוקיות מצלמות</x:v>
      </x:c>
      <x:c r="L84" s="48" t="str">
        <x:v>ליבה</x:v>
      </x:c>
    </x:row>
    <x:row r="85" ht="39.599998474121094" hidden="0" customHeight="1">
      <x:c r="A85" s="45" t="str">
        <x:v>PRIV-09</x:v>
      </x:c>
      <x:c r="B85" s="48" t="str">
        <x:v>פרטיות במקום העבודה</x:v>
      </x:c>
      <x:c r="C85" s="48" t="str">
        <x:v>מצלמות</x:v>
      </x:c>
      <x:c r="D85" s="48" t="str">
        <x:v>באילו אזורים מותקנות מצלמות?</x:v>
      </x:c>
      <x:c r="E85" s="48" t="str">
        <x:v>בחירה מרובה</x:v>
      </x:c>
      <x:c r="F85" s="48" t="str">
        <x:v>כניסה/יציאה | מסדרונות | שטחי עבודה | חדרי עבודה | קופה | מחסן | מטבח | חדר עובדים/מנוחה | חדר הלבשה | אחר</x:v>
      </x:c>
      <x:c r="G85" s="48" t="str">
        <x:v>PRIV-08 = כן</x:v>
      </x:c>
      <x:c r="H85" s="48" t="str"/>
      <x:c r="I85" s="48" t="str"/>
      <x:c r="J85" s="48" t="str">
        <x:v>מיקום רגיש מעלה רמת בחינה; חדרי הלבשה/מרחבים פרטיים הם דגל חריף.</x:v>
      </x:c>
      <x:c r="K85" s="48" t="str"/>
      <x:c r="L85" s="48" t="str">
        <x:v>מותנה</x:v>
      </x:c>
    </x:row>
    <x:row r="86" ht="26.399999618530273" hidden="0" customHeight="1">
      <x:c r="A86" s="45" t="str">
        <x:v>PRIV-10</x:v>
      </x:c>
      <x:c r="B86" s="48" t="str">
        <x:v>פרטיות במקום העבודה</x:v>
      </x:c>
      <x:c r="C86" s="48" t="str">
        <x:v>מצלמות</x:v>
      </x:c>
      <x:c r="D86" s="48" t="str">
        <x:v>מהן מטרות השימוש במצלמות?</x:v>
      </x:c>
      <x:c r="E86" s="48" t="str">
        <x:v>בחירה מרובה</x:v>
      </x:c>
      <x:c r="F86" s="48" t="str">
        <x:v>אבטחה | מניעת גניבות | בטיחות | פיקוח על עובדים | תיעוד אירועים | אחר | לא יודעת</x:v>
      </x:c>
      <x:c r="G86" s="48" t="str">
        <x:v>PRIV-08 = כן</x:v>
      </x:c>
      <x:c r="H86" s="48" t="str"/>
      <x:c r="I86" s="48" t="str"/>
      <x:c r="J86" s="48" t="str">
        <x:v>לבחון מטרה לגיטימית, נחיצות, מידתיות ושימוש בפועל.</x:v>
      </x:c>
      <x:c r="K86" s="48" t="str"/>
      <x:c r="L86" s="48" t="str">
        <x:v>מותנה</x:v>
      </x:c>
    </x:row>
    <x:row r="87" ht="26.399999618530273" hidden="0" customHeight="1">
      <x:c r="A87" s="45" t="str">
        <x:v>PRIV-11</x:v>
      </x:c>
      <x:c r="B87" s="48" t="str">
        <x:v>פרטיות במקום העבודה</x:v>
      </x:c>
      <x:c r="C87" s="48" t="str">
        <x:v>מצלמות</x:v>
      </x:c>
      <x:c r="D87" s="48" t="str">
        <x:v>האם העובדים קיבלו מידע על קיום המצלמות ועל מטרות השימוש בהן?</x:v>
      </x:c>
      <x:c r="E87" s="48" t="str">
        <x:v>בחירה יחידה</x:v>
      </x:c>
      <x:c r="F87" s="48" t="str">
        <x:v>כן, בכתב | כן, בעל פה | חלקית | לא | לא יודעת</x:v>
      </x:c>
      <x:c r="G87" s="48" t="str">
        <x:v>PRIV-08 = כן</x:v>
      </x:c>
      <x:c r="H87" s="48" t="str"/>
      <x:c r="I87" s="48" t="str"/>
      <x:c r="J87" s="48" t="str"/>
      <x:c r="K87" s="48" t="str"/>
      <x:c r="L87" s="48" t="str">
        <x:v>מותנה</x:v>
      </x:c>
    </x:row>
    <x:row r="88" ht="15" hidden="0" customHeight="1">
      <x:c r="A88" s="45" t="str">
        <x:v>PRIV-12</x:v>
      </x:c>
      <x:c r="B88" s="48" t="str">
        <x:v>פרטיות במקום העבודה</x:v>
      </x:c>
      <x:c r="C88" s="48" t="str">
        <x:v>מצלמות</x:v>
      </x:c>
      <x:c r="D88" s="48" t="str">
        <x:v>האם קיים שילוט מתאים באזורים המצולמים?</x:v>
      </x:c>
      <x:c r="E88" s="48" t="str">
        <x:v>בחירה יחידה</x:v>
      </x:c>
      <x:c r="F88" s="48" t="str">
        <x:v>כן | בחלק מהאזורים | לא | לא יודעת</x:v>
      </x:c>
      <x:c r="G88" s="48" t="str">
        <x:v>PRIV-08 = כן</x:v>
      </x:c>
      <x:c r="H88" s="48" t="str"/>
      <x:c r="I88" s="48" t="str"/>
      <x:c r="J88" s="48" t="str"/>
      <x:c r="K88" s="48" t="str"/>
      <x:c r="L88" s="48" t="str">
        <x:v>מותנה</x:v>
      </x:c>
    </x:row>
    <x:row r="89" ht="15" hidden="0" customHeight="1">
      <x:c r="A89" s="45" t="str">
        <x:v>PRIV-13</x:v>
      </x:c>
      <x:c r="B89" s="48" t="str">
        <x:v>פרטיות במקום העבודה</x:v>
      </x:c>
      <x:c r="C89" s="48" t="str">
        <x:v>מצלמות</x:v>
      </x:c>
      <x:c r="D89" s="48" t="str">
        <x:v>האם המצלמות מקליטות גם קול?</x:v>
      </x:c>
      <x:c r="E89" s="48" t="str">
        <x:v>בחירה יחידה</x:v>
      </x:c>
      <x:c r="F89" s="48" t="str">
        <x:v>כן | לא | לא יודעת</x:v>
      </x:c>
      <x:c r="G89" s="48" t="str">
        <x:v>PRIV-08 = כן</x:v>
      </x:c>
      <x:c r="H89" s="48" t="str"/>
      <x:c r="I89" s="48" t="str"/>
      <x:c r="J89" s="48" t="str">
        <x:v>דגל משמעותי לבדיקה משפטית נפרדת.</x:v>
      </x:c>
      <x:c r="K89" s="48" t="str"/>
      <x:c r="L89" s="48" t="str">
        <x:v>מותנה</x:v>
      </x:c>
    </x:row>
    <x:row r="90" ht="26.399999618530273" hidden="0" customHeight="1">
      <x:c r="A90" s="45" t="str">
        <x:v>PRIV-14</x:v>
      </x:c>
      <x:c r="B90" s="48" t="str">
        <x:v>פרטיות במקום העבודה</x:v>
      </x:c>
      <x:c r="C90" s="48" t="str">
        <x:v>מצלמות</x:v>
      </x:c>
      <x:c r="D90" s="48" t="str">
        <x:v>מי רשאי לצפות בצילומים?</x:v>
      </x:c>
      <x:c r="E90" s="48" t="str">
        <x:v>בחירה מרובה</x:v>
      </x:c>
      <x:c r="F90" s="48" t="str">
        <x:v>בעל/ת העסק | מנהלים | אבטחה | IT | ספק חיצוני | עובדים נוספים | לא יודעת</x:v>
      </x:c>
      <x:c r="G90" s="48" t="str">
        <x:v>PRIV-08 = כן</x:v>
      </x:c>
      <x:c r="H90" s="48" t="str"/>
      <x:c r="I90" s="48" t="str"/>
      <x:c r="J90" s="48" t="str"/>
      <x:c r="K90" s="48" t="str"/>
      <x:c r="L90" s="48" t="str">
        <x:v>מותנה</x:v>
      </x:c>
    </x:row>
    <x:row r="91" ht="26.399999618530273" hidden="0" customHeight="1">
      <x:c r="A91" s="45" t="str">
        <x:v>PRIV-15</x:v>
      </x:c>
      <x:c r="B91" s="48" t="str">
        <x:v>פרטיות במקום העבודה</x:v>
      </x:c>
      <x:c r="C91" s="48" t="str">
        <x:v>מצלמות</x:v>
      </x:c>
      <x:c r="D91" s="48" t="str">
        <x:v>כמה זמן נשמרים הצילומים?</x:v>
      </x:c>
      <x:c r="E91" s="48" t="str">
        <x:v>בחירה יחידה</x:v>
      </x:c>
      <x:c r="F91" s="48" t="str">
        <x:v>עד 7 ימים | 8–30 ימים | 31–90 ימים | מעל 90 ימים | ללא מגבלת זמן ידועה | לא יודעת</x:v>
      </x:c>
      <x:c r="G91" s="48" t="str">
        <x:v>PRIV-08 = כן</x:v>
      </x:c>
      <x:c r="H91" s="48" t="str"/>
      <x:c r="I91" s="48" t="str"/>
      <x:c r="J91" s="48" t="str">
        <x:v>לבחון נחיצות ותקופת שמירה ביחס למטרה.</x:v>
      </x:c>
      <x:c r="K91" s="48" t="str"/>
      <x:c r="L91" s="48" t="str">
        <x:v>מותנה</x:v>
      </x:c>
    </x:row>
    <x:row r="92" ht="26.399999618530273" hidden="0" customHeight="1">
      <x:c r="A92" s="45" t="str">
        <x:v>PRIV-16</x:v>
      </x:c>
      <x:c r="B92" s="48" t="str">
        <x:v>פרטיות במקום העבודה</x:v>
      </x:c>
      <x:c r="C92" s="48" t="str">
        <x:v>מצלמות</x:v>
      </x:c>
      <x:c r="D92" s="48" t="str">
        <x:v>האם נעשה שימוש בצילומים לצורך פיקוח על ביצועי עובדים או הליכים משמעתיים?</x:v>
      </x:c>
      <x:c r="E92" s="48" t="str">
        <x:v>בחירה יחידה</x:v>
      </x:c>
      <x:c r="F92" s="48" t="str">
        <x:v>כן | לעיתים | לא | לא יודעת</x:v>
      </x:c>
      <x:c r="G92" s="48" t="str">
        <x:v>PRIV-08 = כן</x:v>
      </x:c>
      <x:c r="H92" s="48" t="str"/>
      <x:c r="I92" s="48" t="str"/>
      <x:c r="J92" s="48" t="str">
        <x:v>להצליב עם המטרה שנמסרה לעובדים; שימוש משני הוא דגל.</x:v>
      </x:c>
      <x:c r="K92" s="48" t="str"/>
      <x:c r="L92" s="48" t="str">
        <x:v>מותנה</x:v>
      </x:c>
    </x:row>
    <x:row r="93" ht="26.399999618530273" hidden="0" customHeight="1">
      <x:c r="A93" s="45" t="str">
        <x:v>PRIV-17</x:v>
      </x:c>
      <x:c r="B93" s="48" t="str">
        <x:v>פרטיות במקום העבודה</x:v>
      </x:c>
      <x:c r="C93" s="48" t="str">
        <x:v>ביומטריה</x:v>
      </x:c>
      <x:c r="D93" s="48" t="str">
        <x:v>האם נעשה שימוש בטביעת אצבע, זיהוי פנים או אמצעי ביומטרי אחר לצורכי נוכחות או גישה?</x:v>
      </x:c>
      <x:c r="E93" s="48" t="str">
        <x:v>בחירה יחידה</x:v>
      </x:c>
      <x:c r="F93" s="48" t="str">
        <x:v>כן | לא | לא יודעת</x:v>
      </x:c>
      <x:c r="G93" s="48" t="str">
        <x:v>GEN-04 &gt; 0</x:v>
      </x:c>
      <x:c r="H93" s="48" t="str">
        <x:v>אם TIME-02 כולל ביומטריה — התשובה אמורה להתמלא אוטומטית.</x:v>
      </x:c>
      <x:c r="I93" s="48" t="str"/>
      <x:c r="J93" s="48" t="str"/>
      <x:c r="K93" s="48" t="str">
        <x:v>בדיקת שימוש בביומטריה</x:v>
      </x:c>
      <x:c r="L93" s="48" t="str">
        <x:v>ליבה</x:v>
      </x:c>
    </x:row>
    <x:row r="94" ht="26.399999618530273" hidden="0" customHeight="1">
      <x:c r="A94" s="45" t="str">
        <x:v>PRIV-18</x:v>
      </x:c>
      <x:c r="B94" s="48" t="str">
        <x:v>פרטיות במקום העבודה</x:v>
      </x:c>
      <x:c r="C94" s="48" t="str">
        <x:v>ביומטריה</x:v>
      </x:c>
      <x:c r="D94" s="48" t="str">
        <x:v>האם קיימת לעובדים חלופה שאינה ביומטרית?</x:v>
      </x:c>
      <x:c r="E94" s="48" t="str">
        <x:v>בחירה יחידה</x:v>
      </x:c>
      <x:c r="F94" s="48" t="str">
        <x:v>כן | לא | לא יודעת</x:v>
      </x:c>
      <x:c r="G94" s="48" t="str">
        <x:v>PRIV-17 = כן</x:v>
      </x:c>
      <x:c r="H94" s="48" t="str"/>
      <x:c r="I94" s="48" t="str"/>
      <x:c r="J94" s="48" t="str">
        <x:v>לבחון נחיצות, חלופה פחות פוגענית, שקיפות והסכמה/בסיס משפטי.</x:v>
      </x:c>
      <x:c r="K94" s="48" t="str"/>
      <x:c r="L94" s="48" t="str">
        <x:v>מותנה</x:v>
      </x:c>
    </x:row>
    <x:row r="95" ht="39.599998474121094" hidden="0" customHeight="1">
      <x:c r="A95" s="45" t="str">
        <x:v>PRIV-19</x:v>
      </x:c>
      <x:c r="B95" s="48" t="str">
        <x:v>פרטיות במקום העבודה</x:v>
      </x:c>
      <x:c r="C95" s="48" t="str">
        <x:v>ניטור דיגיטלי</x:v>
      </x:c>
      <x:c r="D95" s="48" t="str">
        <x:v>האם נעשה שימוש באחד מאמצעי הניטור הבאים?</x:v>
      </x:c>
      <x:c r="E95" s="48" t="str">
        <x:v>בחירה מרובה</x:v>
      </x:c>
      <x:c r="F95" s="48" t="str">
        <x:v>GPS/איתור רכב | מעקב מיקום באפליקציה | ניטור גלישה | ניטור פעילות מחשב | צילום מסך | גישה לדוא"ל עובדים | הקלטת שיחות | אין</x:v>
      </x:c>
      <x:c r="G95" s="48" t="str">
        <x:v>GEN-04 &gt; 0</x:v>
      </x:c>
      <x:c r="H95" s="48" t="str">
        <x:v>אם נבחר אמצעי כלשהו → PRIV-20–PRIV-22.</x:v>
      </x:c>
      <x:c r="I95" s="48" t="str"/>
      <x:c r="J95" s="48" t="str"/>
      <x:c r="K95" s="48" t="str">
        <x:v>מדיניות ניטור עובדים</x:v>
      </x:c>
      <x:c r="L95" s="48" t="str">
        <x:v>ליבה</x:v>
      </x:c>
    </x:row>
    <x:row r="96" ht="15" hidden="0" customHeight="1">
      <x:c r="A96" s="45" t="str">
        <x:v>PRIV-20</x:v>
      </x:c>
      <x:c r="B96" s="48" t="str">
        <x:v>פרטיות במקום העבודה</x:v>
      </x:c>
      <x:c r="C96" s="48" t="str">
        <x:v>ניטור דיגיטלי</x:v>
      </x:c>
      <x:c r="D96" s="48" t="str">
        <x:v>מהי מטרת הניטור?</x:v>
      </x:c>
      <x:c r="E96" s="48" t="str">
        <x:v>טקסט קצר</x:v>
      </x:c>
      <x:c r="F96" s="48" t="str"/>
      <x:c r="G96" s="48" t="str">
        <x:v>PRIV-19 ≠ אין</x:v>
      </x:c>
      <x:c r="H96" s="48" t="str"/>
      <x:c r="I96" s="48" t="str"/>
      <x:c r="J96" s="48" t="str">
        <x:v>לבחון תכלית, מידתיות, חלופות וצמצום מידע.</x:v>
      </x:c>
      <x:c r="K96" s="48" t="str"/>
      <x:c r="L96" s="48" t="str">
        <x:v>מותנה</x:v>
      </x:c>
    </x:row>
    <x:row r="97" ht="26.399999618530273" hidden="0" customHeight="1">
      <x:c r="A97" s="45" t="str">
        <x:v>PRIV-21</x:v>
      </x:c>
      <x:c r="B97" s="48" t="str">
        <x:v>פרטיות במקום העבודה</x:v>
      </x:c>
      <x:c r="C97" s="48" t="str">
        <x:v>ניטור דיגיטלי</x:v>
      </x:c>
      <x:c r="D97" s="48" t="str">
        <x:v>האם העובדים קיבלו מידע מראש על עצם הניטור, היקפו ומטרתו?</x:v>
      </x:c>
      <x:c r="E97" s="48" t="str">
        <x:v>בחירה יחידה</x:v>
      </x:c>
      <x:c r="F97" s="48" t="str">
        <x:v>כן, בכתב | כן, בעל פה | חלקית | לא | לא יודעת</x:v>
      </x:c>
      <x:c r="G97" s="48" t="str">
        <x:v>PRIV-19 ≠ אין</x:v>
      </x:c>
      <x:c r="H97" s="48" t="str"/>
      <x:c r="I97" s="48" t="str"/>
      <x:c r="J97" s="48" t="str"/>
      <x:c r="K97" s="48" t="str"/>
      <x:c r="L97" s="48" t="str">
        <x:v>מותנה</x:v>
      </x:c>
    </x:row>
    <x:row r="98" ht="15" hidden="0" customHeight="1">
      <x:c r="A98" s="45" t="str">
        <x:v>PRIV-22</x:v>
      </x:c>
      <x:c r="B98" s="48" t="str">
        <x:v>פרטיות במקום העבודה</x:v>
      </x:c>
      <x:c r="C98" s="48" t="str">
        <x:v>ניטור דיגיטלי</x:v>
      </x:c>
      <x:c r="D98" s="48" t="str">
        <x:v>האם הניטור יכול להמשיך גם מחוץ לשעות העבודה?</x:v>
      </x:c>
      <x:c r="E98" s="48" t="str">
        <x:v>בחירה יחידה</x:v>
      </x:c>
      <x:c r="F98" s="48" t="str">
        <x:v>כן | לא | תלוי במערכת | לא יודעת</x:v>
      </x:c>
      <x:c r="G98" s="48" t="str">
        <x:v>PRIV-19 ≠ אין</x:v>
      </x:c>
      <x:c r="H98" s="48" t="str"/>
      <x:c r="I98" s="48" t="str"/>
      <x:c r="J98" s="48" t="str">
        <x:v>דגל משמעותי במיוחד במעקב מיקום/מכשירים.</x:v>
      </x:c>
      <x:c r="K98" s="48" t="str"/>
      <x:c r="L98" s="48" t="str">
        <x:v>מותנה</x:v>
      </x:c>
    </x:row>
    <x:row r="99" ht="26.399999618530273" hidden="0" customHeight="1">
      <x:c r="A99" s="45" t="str">
        <x:v>PRIV-23</x:v>
      </x:c>
      <x:c r="B99" s="48" t="str">
        <x:v>פרטיות במקום העבודה</x:v>
      </x:c>
      <x:c r="C99" s="48" t="str">
        <x:v>דוא"ל</x:v>
      </x:c>
      <x:c r="D99" s="48" t="str">
        <x:v>כאשר נדרשת גישה לתיבת דוא"ל של עובד, האם קיימת מדיניות או פרוצדורה מסודרת לכך?</x:v>
      </x:c>
      <x:c r="E99" s="48" t="str">
        <x:v>בחירה יחידה</x:v>
      </x:c>
      <x:c r="F99" s="48" t="str">
        <x:v>כן | לא | לא יודעת | לא רלוונטי</x:v>
      </x:c>
      <x:c r="G99" s="48" t="str">
        <x:v>GEN-04 &gt; 0</x:v>
      </x:c>
      <x:c r="H99" s="48" t="str"/>
      <x:c r="I99" s="48" t="str"/>
      <x:c r="J99" s="48" t="str"/>
      <x:c r="K99" s="48" t="str">
        <x:v>מדיניות שימוש במערכות ודוא"ל</x:v>
      </x:c>
      <x:c r="L99" s="48" t="str">
        <x:v>ליבה</x:v>
      </x:c>
    </x:row>
    <x:row r="100" ht="26.399999618530273" hidden="0" customHeight="1">
      <x:c r="A100" s="45" t="str">
        <x:v>PRIV-24</x:v>
      </x:c>
      <x:c r="B100" s="48" t="str">
        <x:v>פרטיות במקום העבודה</x:v>
      </x:c>
      <x:c r="C100" s="48" t="str">
        <x:v>עזיבת עובד</x:v>
      </x:c>
      <x:c r="D100" s="48" t="str">
        <x:v>כאשר עובד מסיים את עבודתו, האם מבוטלות הרשאות הגישה שלו למערכות העסק?</x:v>
      </x:c>
      <x:c r="E100" s="48" t="str">
        <x:v>בחירה יחידה</x:v>
      </x:c>
      <x:c r="F100" s="48" t="str">
        <x:v>מיד עם הסיום | בתוך מספר ימים | לא באופן קבוע | לא יודעת</x:v>
      </x:c>
      <x:c r="G100" s="48" t="str">
        <x:v>GEN-04 &gt; 0</x:v>
      </x:c>
      <x:c r="H100" s="48" t="str"/>
      <x:c r="I100" s="48" t="str"/>
      <x:c r="J100" s="48" t="str">
        <x:v>לבחון תהליך Offboarding והרשאות.</x:v>
      </x:c>
      <x:c r="K100" s="48" t="str"/>
      <x:c r="L100" s="48" t="str">
        <x:v>ליבה</x:v>
      </x:c>
    </x:row>
    <x:row r="101" ht="26.399999618530273" hidden="0" customHeight="1">
      <x:c r="A101" s="45" t="str">
        <x:v>PRIV-25</x:v>
      </x:c>
      <x:c r="B101" s="48" t="str">
        <x:v>פרטיות במקום העבודה</x:v>
      </x:c>
      <x:c r="C101" s="48" t="str">
        <x:v>עזיבת עובד</x:v>
      </x:c>
      <x:c r="D101" s="48" t="str">
        <x:v>מה נעשה בתיבת הדוא"ל של עובד שסיים את עבודתו?</x:v>
      </x:c>
      <x:c r="E101" s="48" t="str">
        <x:v>בחירה יחידה</x:v>
      </x:c>
      <x:c r="F101" s="48" t="str">
        <x:v>נסגרת | מועברת למנהל | נשארת פעילה | מוגדרת הודעת הפניה | משתנה | לא יודעת</x:v>
      </x:c>
      <x:c r="G101" s="48" t="str">
        <x:v>GEN-04 &gt; 0</x:v>
      </x:c>
      <x:c r="H101" s="48" t="str"/>
      <x:c r="I101" s="48" t="str"/>
      <x:c r="J101" s="48" t="str">
        <x:v>לבחון גישה לתוכן, יידוע, תקופת מעבר ומידתיות.</x:v>
      </x:c>
      <x:c r="K101" s="48" t="str"/>
      <x:c r="L101" s="48" t="str">
        <x:v>ליבה</x:v>
      </x:c>
    </x:row>
    <x:row r="102" ht="26.399999618530273" hidden="0" customHeight="1">
      <x:c r="A102" s="45" t="str">
        <x:v>PRIV-26</x:v>
      </x:c>
      <x:c r="B102" s="48" t="str">
        <x:v>פרטיות במקום העבודה</x:v>
      </x:c>
      <x:c r="C102" s="48" t="str">
        <x:v>שמירת מידע</x:v>
      </x:c>
      <x:c r="D102" s="48" t="str">
        <x:v>האם קיימת מדיניות הקובעת כמה זמן נשמר מידע של עובדים שסיימו לעבוד?</x:v>
      </x:c>
      <x:c r="E102" s="48" t="str">
        <x:v>בחירה יחידה</x:v>
      </x:c>
      <x:c r="F102" s="48" t="str">
        <x:v>כן | לא | לא יודעת</x:v>
      </x:c>
      <x:c r="G102" s="48" t="str">
        <x:v>GEN-04 &gt; 0</x:v>
      </x:c>
      <x:c r="H102" s="48" t="str"/>
      <x:c r="I102" s="48" t="str"/>
      <x:c r="J102" s="48" t="str"/>
      <x:c r="K102" s="48" t="str">
        <x:v>מדיניות שמירת מידע</x:v>
      </x:c>
      <x:c r="L102" s="48" t="str">
        <x:v>ליבה</x:v>
      </x:c>
    </x:row>
    <x:row r="103" ht="26.399999618530273" hidden="0" customHeight="1">
      <x:c r="A103" s="45" t="str">
        <x:v>PRIV-27</x:v>
      </x:c>
      <x:c r="B103" s="48" t="str">
        <x:v>פרטיות במקום העבודה</x:v>
      </x:c>
      <x:c r="C103" s="48" t="str">
        <x:v>אבטחת מידע</x:v>
      </x:c>
      <x:c r="D103" s="48" t="str">
        <x:v>האם אירע בעסק אירוע שבו מידע על עובדים נשלח בטעות, נחשף, אבד או נגיש למי שלא היה אמור לקבלו?</x:v>
      </x:c>
      <x:c r="E103" s="48" t="str">
        <x:v>בחירה יחידה</x:v>
      </x:c>
      <x:c r="F103" s="48" t="str">
        <x:v>כן | לא | לא יודעת</x:v>
      </x:c>
      <x:c r="G103" s="48" t="str">
        <x:v>GEN-04 &gt; 0</x:v>
      </x:c>
      <x:c r="H103" s="48" t="str">
        <x:v>אם כן → תיאור כללי בלבד, ללא שמות או מידע רגיש מיותר.</x:v>
      </x:c>
      <x:c r="I103" s="48" t="str"/>
      <x:c r="J103" s="48" t="str"/>
      <x:c r="K103" s="48" t="str">
        <x:v>טיפול באירוע פרטיות/אבטחת מידע</x:v>
      </x:c>
      <x:c r="L103" s="48" t="str">
        <x:v>ליבה</x:v>
      </x:c>
    </x:row>
    <x:row r="104" ht="26.399999618530273" hidden="0" customHeight="1">
      <x:c r="A104" s="45" t="str">
        <x:v>PRIV-28</x:v>
      </x:c>
      <x:c r="B104" s="48" t="str">
        <x:v>פרטיות במקום העבודה</x:v>
      </x:c>
      <x:c r="C104" s="48" t="str">
        <x:v>ממשל פרטיות</x:v>
      </x:c>
      <x:c r="D104" s="48" t="str">
        <x:v>האם יש בעסק גורם שמוגדר כאחראי על פרטיות או אבטחת מידע?</x:v>
      </x:c>
      <x:c r="E104" s="48" t="str">
        <x:v>בחירה יחידה</x:v>
      </x:c>
      <x:c r="F104" s="48" t="str">
        <x:v>כן, ממונה הגנת פרטיות (DPO) | כן, גורם אחר | לא | לא יודעת</x:v>
      </x:c>
      <x:c r="G104" s="48" t="str">
        <x:v>GEN-04 &gt; 0</x:v>
      </x:c>
      <x:c r="H104" s="48" t="str"/>
      <x:c r="I104" s="48" t="str"/>
      <x:c r="J104" s="48" t="str">
        <x:v>לא להסיק מכאן כשלעצמו אם קיימת חובת DPO; יש לבצע Screening נפרד לפי מאפייני הארגון.</x:v>
      </x:c>
      <x:c r="K104" s="48" t="str">
        <x:v>בחינת חובת DPO</x:v>
      </x:c>
      <x:c r="L104" s="48" t="str">
        <x:v>ליבה</x:v>
      </x:c>
    </x:row>
    <x:row r="105" ht="15" hidden="0" customHeight="1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</x:row>
    <x:row r="106" ht="15" hidden="0" customHeight="1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</x:row>
    <x:row r="107" ht="15" hidden="0" customHeight="1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</x:row>
    <x:row r="108" ht="15" hidden="0" customHeight="1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</x:row>
    <x:row r="109" ht="15" hidden="0" customHeight="1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</x:row>
    <x:row r="110" ht="15" hidden="0" customHeight="1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</x:row>
    <x:row r="111" ht="15" hidden="0" customHeight="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</x:row>
    <x:row r="112" ht="15" hidden="0" customHeight="1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</x:row>
    <x:row r="113" ht="15" hidden="0" customHeight="1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</x:row>
    <x:row r="114" ht="15" hidden="0" customHeight="1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</x:row>
    <x:row r="115" ht="15" hidden="0" customHeight="1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</x:row>
    <x:row r="116" ht="15" hidden="0" customHeight="1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</x:row>
    <x:row r="117" ht="15" hidden="0" customHeight="1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</x:row>
    <x:row r="118" ht="15" hidden="0" customHeight="1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</x:row>
    <x:row r="119" ht="15" hidden="0" customHeight="1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</x:row>
    <x:row r="120" ht="15" hidden="0" customHeight="1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</x:row>
    <x:row r="121" ht="15" hidden="0" customHeight="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</x:row>
    <x:row r="122" ht="15" hidden="0" customHeight="1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</x:row>
    <x:row r="123" ht="15" hidden="0" customHeight="1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</x:row>
    <x:row r="124" ht="15" hidden="0" customHeight="1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</x:row>
    <x:row r="125" ht="15" hidden="0" customHeight="1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</x:row>
    <x:row r="126" ht="15" hidden="0" customHeight="1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</x:row>
    <x:row r="127" ht="15" hidden="0" customHeight="1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</x:row>
    <x:row r="128" ht="15" hidden="0" customHeight="1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</x:row>
    <x:row r="129" ht="15" hidden="0" customHeight="1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</x:row>
    <x:row r="130" ht="15" hidden="0" customHeight="1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</x:row>
    <x:row r="131" ht="15" hidden="0" customHeight="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</x:row>
    <x:row r="132" ht="15" hidden="0" customHeight="1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</x:row>
    <x:row r="133" ht="15" hidden="0" customHeight="1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</x:row>
    <x:row r="134" ht="15" hidden="0" customHeight="1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</x:row>
    <x:row r="135" ht="15" hidden="0" customHeight="1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</x:row>
    <x:row r="136" ht="15" hidden="0" customHeight="1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</x:row>
    <x:row r="137" ht="15" hidden="0" customHeight="1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</x:row>
    <x:row r="138" ht="15" hidden="0" customHeight="1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</x:row>
    <x:row r="139" ht="15" hidden="0" customHeight="1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</x:row>
    <x:row r="140" ht="15" hidden="0" customHeight="1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</x:row>
    <x:row r="141" ht="15" hidden="0" customHeight="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</x:row>
    <x:row r="142" ht="15" hidden="0" customHeight="1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</x:row>
    <x:row r="143" ht="15" hidden="0" customHeight="1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</x:row>
    <x:row r="144" ht="15" hidden="0" customHeight="1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</x:row>
    <x:row r="145" ht="15" hidden="0" customHeight="1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</x:row>
    <x:row r="146" ht="15" hidden="0" customHeight="1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</x:row>
    <x:row r="147" ht="15" hidden="0" customHeight="1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</x:row>
    <x:row r="148" ht="15" hidden="0" customHeight="1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</x:row>
    <x:row r="149" ht="15" hidden="0" customHeight="1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</x:row>
    <x:row r="150" ht="15" hidden="0" customHeight="1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</x:row>
    <x:row r="151" ht="15" hidden="0" customHeight="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</x:row>
    <x:row r="152" ht="15" hidden="0" customHeight="1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</x:row>
    <x:row r="153" ht="15" hidden="0" customHeight="1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</x:row>
    <x:row r="154" ht="15" hidden="0" customHeight="1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</x:row>
    <x:row r="155" ht="15" hidden="0" customHeight="1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</x:row>
    <x:row r="156" ht="15" hidden="0" customHeight="1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</x:row>
    <x:row r="157" ht="15" hidden="0" customHeight="1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</x:row>
    <x:row r="158" ht="15" hidden="0" customHeight="1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</x:row>
    <x:row r="159" ht="15" hidden="0" customHeight="1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</x:row>
    <x:row r="160" ht="15" hidden="0" customHeight="1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</x:row>
    <x:row r="161" ht="15" hidden="0" customHeight="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</x:row>
    <x:row r="162" ht="15" hidden="0" customHeight="1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</x:row>
    <x:row r="163" ht="15" hidden="0" customHeight="1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</x:row>
    <x:row r="164" ht="15" hidden="0" customHeight="1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</x:row>
    <x:row r="165" ht="15" hidden="0" customHeight="1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</x:row>
    <x:row r="166" ht="15" hidden="0" customHeight="1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</x:row>
    <x:row r="167" ht="15" hidden="0" customHeight="1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</x:row>
    <x:row r="168" ht="15" hidden="0" customHeight="1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</x:row>
    <x:row r="169" ht="15" hidden="0" customHeight="1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</x:row>
    <x:row r="170" ht="15" hidden="0" customHeight="1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</x:row>
    <x:row r="171" ht="15" hidden="0" customHeight="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</x:row>
    <x:row r="172" ht="15" hidden="0" customHeight="1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</x:row>
    <x:row r="173" ht="15" hidden="0" customHeight="1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</x:row>
    <x:row r="174" ht="15" hidden="0" customHeight="1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</x:row>
    <x:row r="175" ht="15" hidden="0" customHeight="1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</x:row>
    <x:row r="176" ht="15" hidden="0" customHeight="1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</x:row>
    <x:row r="177" ht="15" hidden="0" customHeight="1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</x:row>
    <x:row r="178" ht="15" hidden="0" customHeight="1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</x:row>
    <x:row r="179" ht="15" hidden="0" customHeight="1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</x:row>
    <x:row r="180" ht="15" hidden="0" customHeight="1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</x:row>
    <x:row r="181" ht="15" hidden="0" customHeight="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</x:row>
    <x:row r="182" ht="15" hidden="0" customHeight="1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</x:row>
    <x:row r="183" ht="15" hidden="0" customHeight="1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</x:row>
    <x:row r="184" ht="15" hidden="0" customHeight="1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</x:row>
    <x:row r="185" ht="15" hidden="0" customHeight="1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</x:row>
    <x:row r="186" ht="15" hidden="0" customHeight="1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</x:row>
    <x:row r="187" ht="15" hidden="0" customHeight="1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</x:row>
    <x:row r="188" ht="15" hidden="0" customHeight="1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</x:row>
    <x:row r="189" ht="15" hidden="0" customHeight="1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</x:row>
    <x:row r="190" ht="15" hidden="0" customHeight="1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</x:row>
    <x:row r="191" ht="15" hidden="0" customHeight="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</x:row>
    <x:row r="192" ht="15" hidden="0" customHeight="1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</x:row>
    <x:row r="193" ht="15" hidden="0" customHeight="1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</x:row>
    <x:row r="194" ht="15" hidden="0" customHeight="1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</x:row>
    <x:row r="195" ht="15" hidden="0" customHeight="1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</x:row>
    <x:row r="196" ht="15" hidden="0" customHeight="1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</x:row>
    <x:row r="197" ht="15" hidden="0" customHeight="1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</x:row>
    <x:row r="198" ht="15" hidden="0" customHeight="1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</x:row>
    <x:row r="199" ht="15" hidden="0" customHeight="1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</x:row>
    <x:row r="200" ht="15" hidden="0" customHeight="1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</x:row>
  </x:sheetData>
  <x:conditionalFormatting sqref="L2:L104">
    <x:cfRule type="expression" dxfId="0" priority="1">
      <x:formula>L2="ליבה"</x:formula>
    </x:cfRule>
    <x:cfRule type="expression" dxfId="1" priority="2">
      <x:formula>L2="מותנה"</x:formula>
    </x:cfRule>
  </x:conditionalFormatting>
  <x:conditionalFormatting sqref="I2:I104">
    <x:cfRule type="expression" dxfId="2" priority="3">
      <x:formula>I2&lt;&gt;""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77f01ea0bd4e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50" hidden="0" customWidth="1"/>
    <x:col min="5" max="5" width="26" hidden="0" customWidth="1"/>
    <x:col min="6" max="6" width="46" hidden="0" customWidth="1"/>
  </x:cols>
  <x:sheetData>
    <x:row r="1" ht="34" customHeight="1">
      <x:c r="A1" s="44" t="str">
        <x:v>ID</x:v>
      </x:c>
      <x:c r="B1" s="44" t="str">
        <x:v>סוג מסמך</x:v>
      </x:c>
      <x:c r="C1" s="44" t="str">
        <x:v>מה מבקשים מהלקוח</x:v>
      </x:c>
      <x:c r="D1" s="44" t="str">
        <x:v>מה ה-AI מחלץ/בודק</x:v>
      </x:c>
      <x:c r="E1" s="44" t="str">
        <x:v>שאלות מקושרות</x:v>
      </x:c>
      <x:c r="F1" s="44" t="str">
        <x:v>הערה משפטית</x:v>
      </x:c>
    </x:row>
    <x:row r="2" ht="39.599998474121094" hidden="0" customHeight="1">
      <x:c r="A2" s="45" t="str">
        <x:v>DOC-01</x:v>
      </x:c>
      <x:c r="B2" s="48" t="str">
        <x:v>הסכם עבודה</x:v>
      </x:c>
      <x:c r="C2" s="48" t="str">
        <x:v>הסכם עבודה מייצג</x:v>
      </x:c>
      <x:c r="D2" s="48" t="str">
        <x:v>פרטי חובה; תפקיד; שכר; שעות; שעות נוספות; הודעה מוקדמת; סעיף 14; קרן השתלמות; בונוסים/עמלות; משרת אמון; פרטיות וניטור</x:v>
      </x:c>
      <x:c r="E2" s="48" t="str">
        <x:v>EMP-01, TIME-09, SOC-05, PAY-04</x:v>
      </x:c>
      <x:c r="F2" s="48" t="str">
        <x:v>המסמך אינו מקור יחיד: יש להצליב עם פרקטיקה, תלוש ונוכחות.</x:v>
      </x:c>
    </x:row>
    <x:row r="3" ht="26.399999618530273" hidden="0" customHeight="1">
      <x:c r="A3" s="45" t="str">
        <x:v>DOC-02</x:v>
      </x:c>
      <x:c r="B3" s="48" t="str">
        <x:v>הודעה לעובד</x:v>
      </x:c>
      <x:c r="C3" s="48" t="str">
        <x:v>הודעה על תנאי עבודה</x:v>
      </x:c>
      <x:c r="D3" s="48" t="str">
        <x:v>קיומם של פרטי החובה; התאמה להסכם ולמצב בפועל</x:v>
      </x:c>
      <x:c r="E3" s="48" t="str">
        <x:v>EMP-02</x:v>
      </x:c>
      <x:c r="F3" s="48" t="str">
        <x:v>אם אין הודעה אך ההסכם כולל את מלוא הפרטים הנדרשים — נדרשת בדיקת עמידה חלופית בחובה.</x:v>
      </x:c>
    </x:row>
    <x:row r="4" ht="26.399999618530273" hidden="0" customHeight="1">
      <x:c r="A4" s="45" t="str">
        <x:v>DOC-03</x:v>
      </x:c>
      <x:c r="B4" s="48" t="str">
        <x:v>תלוש שכר</x:v>
      </x:c>
      <x:c r="C4" s="48" t="str">
        <x:v>תלוש של חודש מייצג</x:v>
      </x:c>
      <x:c r="D4" s="48" t="str">
        <x:v>רכיבי שכר; שעות נוספות; עמלות; הפרשות; פיצויים; חופשה/מחלה/הבראה לפי הצורך</x:v>
      </x:c>
      <x:c r="E4" s="48" t="str">
        <x:v>TIME-05, PAY-01, SOC-01</x:v>
      </x:c>
      <x:c r="F4" s="48" t="str">
        <x:v>עדיפות לתלוש של אותו עובד ואותו חודש כמו דו"ח הנוכחות.</x:v>
      </x:c>
    </x:row>
    <x:row r="5" ht="15" hidden="0" customHeight="1">
      <x:c r="A5" s="45" t="str">
        <x:v>DOC-04</x:v>
      </x:c>
      <x:c r="B5" s="48" t="str">
        <x:v>דו"ח נוכחות</x:v>
      </x:c>
      <x:c r="C5" s="48" t="str">
        <x:v>דו"ח של אותו חודש כתלוש</x:v>
      </x:c>
      <x:c r="D5" s="48" t="str">
        <x:v>שעות רגילות; שעות נוספות; לילה; שבת/חג; התאמה לתלוש</x:v>
      </x:c>
      <x:c r="E5" s="48" t="str">
        <x:v>TIME-05</x:v>
      </x:c>
      <x:c r="F5" s="48" t="str">
        <x:v>Cross-check מרכזי במוצר.</x:v>
      </x:c>
    </x:row>
    <x:row r="6" ht="26.399999618530273" hidden="0" customHeight="1">
      <x:c r="A6" s="45" t="str">
        <x:v>DOC-05</x:v>
      </x:c>
      <x:c r="B6" s="48" t="str">
        <x:v>תכנית בונוסים/עמלות</x:v>
      </x:c>
      <x:c r="C6" s="48" t="str">
        <x:v>נספח/תכנית תגמול</x:v>
      </x:c>
      <x:c r="D6" s="48" t="str">
        <x:v>תנאי זכאות; נוסחה; שיקול דעת; מועד תשלום; תנאי סיום; הגדרת בסיס זכויות</x:v>
      </x:c>
      <x:c r="E6" s="48" t="str">
        <x:v>PAY-04</x:v>
      </x:c>
      <x:c r="F6" s="48" t="str">
        <x:v>המערכת תסווג את מאפייני התשלום; מסקנה משפטית סופית דורשת Rule Engine.</x:v>
      </x:c>
    </x:row>
    <x:row r="7" ht="26.399999618530273" hidden="0" customHeight="1">
      <x:c r="A7" s="45" t="str">
        <x:v>DOC-06</x:v>
      </x:c>
      <x:c r="B7" s="48" t="str">
        <x:v>הסכם פרילנסר</x:v>
      </x:c>
      <x:c r="C7" s="48" t="str">
        <x:v>הסכם שירותים</x:v>
      </x:c>
      <x:c r="D7" s="48" t="str">
        <x:v>בלעדיות; ביצוע אישי; כפיפות; שעות; מקום; ציוד; תקופת התקשרות; סיום; תמורה; הטבות; הצגה כחלק מהארגון</x:v>
      </x:c>
      <x:c r="E7" s="48" t="str">
        <x:v>FR-01</x:v>
      </x:c>
      <x:c r="F7" s="48" t="str">
        <x:v>הכותרת 'עצמאי' אינה מכריעה; יש להצליב עם תשובות עובדתיות.</x:v>
      </x:c>
    </x:row>
    <x:row r="8" ht="26.399999618530273" hidden="0" customHeight="1">
      <x:c r="A8" s="45" t="str">
        <x:v>DOC-07</x:v>
      </x:c>
      <x:c r="B8" s="48" t="str">
        <x:v>הודעת/מדיניות פרטיות לעובדים</x:v>
      </x:c>
      <x:c r="C8" s="48" t="str">
        <x:v>מסמך יידוע</x:v>
      </x:c>
      <x:c r="D8" s="48" t="str">
        <x:v>מטרות; חובה/רשות למסירת מידע; שימושים; העברות; בעל שליטה ופרטי קשר; זכויות; מצלמות/ניטור ככל שרלוונטי</x:v>
      </x:c>
      <x:c r="E8" s="48" t="str">
        <x:v>PRIV-03</x:v>
      </x:c>
      <x:c r="F8" s="48" t="str">
        <x:v>בדיקה לפי הדין המעודכן לאחר תיקון 13.</x:v>
      </x:c>
    </x:row>
    <x:row r="9" ht="26.399999618530273" hidden="0" customHeight="1">
      <x:c r="A9" s="45" t="str">
        <x:v>DOC-08</x:v>
      </x:c>
      <x:c r="B9" s="48" t="str">
        <x:v>תקנון למניעת הטרדה מינית</x:v>
      </x:c>
      <x:c r="C9" s="48" t="str">
        <x:v>תקנון מותאם</x:v>
      </x:c>
      <x:c r="D9" s="48" t="str">
        <x:v>קיומו, התאמתו לארגון, דרכי תלונה, זהות אחראי/ת ואופן פרסום</x:v>
      </x:c>
      <x:c r="E9" s="48" t="str">
        <x:v>HR-04</x:v>
      </x:c>
      <x:c r="F9" s="48" t="str">
        <x:v>נפתח אוטומטית לפי מספר עובדים ונסיבות העסק.</x:v>
      </x:c>
    </x:row>
    <x:row r="10" ht="15" hidden="0" customHeight="1">
      <x:c r="A10" s="45"/>
      <x:c r="B10" s="45"/>
      <x:c r="C10" s="45"/>
      <x:c r="D10" s="45"/>
      <x:c r="E10" s="45"/>
      <x:c r="F10" s="45"/>
    </x:row>
    <x:row r="11" ht="15" hidden="0" customHeight="1">
      <x:c r="A11" s="45"/>
      <x:c r="B11" s="45"/>
      <x:c r="C11" s="45"/>
      <x:c r="D11" s="45"/>
      <x:c r="E11" s="45"/>
      <x:c r="F11" s="45"/>
    </x:row>
    <x:row r="12" ht="15" hidden="0" customHeight="1">
      <x:c r="A12" s="45"/>
      <x:c r="B12" s="45"/>
      <x:c r="C12" s="45"/>
      <x:c r="D12" s="45"/>
      <x:c r="E12" s="45"/>
      <x:c r="F12" s="45"/>
    </x:row>
    <x:row r="13" ht="15" hidden="0" customHeight="1">
      <x:c r="A13" s="45"/>
      <x:c r="B13" s="45"/>
      <x:c r="C13" s="45"/>
      <x:c r="D13" s="45"/>
      <x:c r="E13" s="45"/>
      <x:c r="F13" s="45"/>
    </x:row>
    <x:row r="14" ht="15" hidden="0" customHeight="1">
      <x:c r="A14" s="45"/>
      <x:c r="B14" s="45"/>
      <x:c r="C14" s="45"/>
      <x:c r="D14" s="45"/>
      <x:c r="E14" s="45"/>
      <x:c r="F14" s="45"/>
    </x:row>
    <x:row r="15" ht="15" hidden="0" customHeight="1">
      <x:c r="A15" s="45"/>
      <x:c r="B15" s="45"/>
      <x:c r="C15" s="45"/>
      <x:c r="D15" s="45"/>
      <x:c r="E15" s="45"/>
      <x:c r="F15" s="45"/>
    </x:row>
    <x:row r="16" ht="15" hidden="0" customHeight="1">
      <x:c r="A16" s="45"/>
      <x:c r="B16" s="45"/>
      <x:c r="C16" s="45"/>
      <x:c r="D16" s="45"/>
      <x:c r="E16" s="45"/>
      <x:c r="F16" s="45"/>
    </x:row>
    <x:row r="17" ht="15" hidden="0" customHeight="1">
      <x:c r="A17" s="45"/>
      <x:c r="B17" s="45"/>
      <x:c r="C17" s="45"/>
      <x:c r="D17" s="45"/>
      <x:c r="E17" s="45"/>
      <x:c r="F17" s="45"/>
    </x:row>
    <x:row r="18" ht="15" hidden="0" customHeight="1">
      <x:c r="A18" s="45"/>
      <x:c r="B18" s="45"/>
      <x:c r="C18" s="45"/>
      <x:c r="D18" s="45"/>
      <x:c r="E18" s="45"/>
      <x:c r="F18" s="45"/>
    </x:row>
    <x:row r="19" ht="15" hidden="0" customHeight="1">
      <x:c r="A19" s="45"/>
      <x:c r="B19" s="45"/>
      <x:c r="C19" s="45"/>
      <x:c r="D19" s="45"/>
      <x:c r="E19" s="45"/>
      <x:c r="F19" s="45"/>
    </x:row>
    <x:row r="20" ht="15" hidden="0" customHeight="1">
      <x:c r="A20" s="45"/>
      <x:c r="B20" s="45"/>
      <x:c r="C20" s="45"/>
      <x:c r="D20" s="45"/>
      <x:c r="E20" s="45"/>
      <x:c r="F20" s="45"/>
    </x:row>
    <x:row r="21" ht="15" hidden="0" customHeight="1">
      <x:c r="A21" s="45"/>
      <x:c r="B21" s="45"/>
      <x:c r="C21" s="45"/>
      <x:c r="D21" s="45"/>
      <x:c r="E21" s="45"/>
      <x:c r="F21" s="45"/>
    </x:row>
    <x:row r="22" ht="15" hidden="0" customHeight="1">
      <x:c r="A22" s="45"/>
      <x:c r="B22" s="45"/>
      <x:c r="C22" s="45"/>
      <x:c r="D22" s="45"/>
      <x:c r="E22" s="45"/>
      <x:c r="F22" s="45"/>
    </x:row>
    <x:row r="23" ht="15" hidden="0" customHeight="1">
      <x:c r="A23" s="45"/>
      <x:c r="B23" s="45"/>
      <x:c r="C23" s="45"/>
      <x:c r="D23" s="45"/>
      <x:c r="E23" s="45"/>
      <x:c r="F23" s="45"/>
    </x:row>
    <x:row r="24" ht="15" hidden="0" customHeight="1">
      <x:c r="A24" s="45"/>
      <x:c r="B24" s="45"/>
      <x:c r="C24" s="45"/>
      <x:c r="D24" s="45"/>
      <x:c r="E24" s="45"/>
      <x:c r="F24" s="45"/>
    </x:row>
    <x:row r="25" ht="15" hidden="0" customHeight="1">
      <x:c r="A25" s="45"/>
      <x:c r="B25" s="45"/>
      <x:c r="C25" s="45"/>
      <x:c r="D25" s="45"/>
      <x:c r="E25" s="45"/>
      <x:c r="F25" s="45"/>
    </x:row>
    <x:row r="26" ht="15" hidden="0" customHeight="1">
      <x:c r="A26" s="45"/>
      <x:c r="B26" s="45"/>
      <x:c r="C26" s="45"/>
      <x:c r="D26" s="45"/>
      <x:c r="E26" s="45"/>
      <x:c r="F26" s="45"/>
    </x:row>
    <x:row r="27" ht="15" hidden="0" customHeight="1">
      <x:c r="A27" s="45"/>
      <x:c r="B27" s="45"/>
      <x:c r="C27" s="45"/>
      <x:c r="D27" s="45"/>
      <x:c r="E27" s="45"/>
      <x:c r="F27" s="45"/>
    </x:row>
    <x:row r="28" ht="15" hidden="0" customHeight="1">
      <x:c r="A28" s="45"/>
      <x:c r="B28" s="45"/>
      <x:c r="C28" s="45"/>
      <x:c r="D28" s="45"/>
      <x:c r="E28" s="45"/>
      <x:c r="F28" s="45"/>
    </x:row>
    <x:row r="29" ht="15" hidden="0" customHeight="1">
      <x:c r="A29" s="45"/>
      <x:c r="B29" s="45"/>
      <x:c r="C29" s="45"/>
      <x:c r="D29" s="45"/>
      <x:c r="E29" s="45"/>
      <x:c r="F29" s="45"/>
    </x:row>
    <x:row r="30" ht="15" hidden="0" customHeight="1">
      <x:c r="A30" s="45"/>
      <x:c r="B30" s="45"/>
      <x:c r="C30" s="45"/>
      <x:c r="D30" s="45"/>
      <x:c r="E30" s="45"/>
      <x:c r="F30" s="45"/>
    </x:row>
    <x:row r="31" ht="15" hidden="0" customHeight="1">
      <x:c r="A31" s="45"/>
      <x:c r="B31" s="45"/>
      <x:c r="C31" s="45"/>
      <x:c r="D31" s="45"/>
      <x:c r="E31" s="45"/>
      <x:c r="F31" s="45"/>
    </x:row>
    <x:row r="32" ht="15" hidden="0" customHeight="1">
      <x:c r="A32" s="45"/>
      <x:c r="B32" s="45"/>
      <x:c r="C32" s="45"/>
      <x:c r="D32" s="45"/>
      <x:c r="E32" s="45"/>
      <x:c r="F32" s="45"/>
    </x:row>
    <x:row r="33" ht="15" hidden="0" customHeight="1">
      <x:c r="A33" s="45"/>
      <x:c r="B33" s="45"/>
      <x:c r="C33" s="45"/>
      <x:c r="D33" s="45"/>
      <x:c r="E33" s="45"/>
      <x:c r="F33" s="45"/>
    </x:row>
    <x:row r="34" ht="15" hidden="0" customHeight="1">
      <x:c r="A34" s="45"/>
      <x:c r="B34" s="45"/>
      <x:c r="C34" s="45"/>
      <x:c r="D34" s="45"/>
      <x:c r="E34" s="45"/>
      <x:c r="F34" s="45"/>
    </x:row>
    <x:row r="35" ht="15" hidden="0" customHeight="1">
      <x:c r="A35" s="45"/>
      <x:c r="B35" s="45"/>
      <x:c r="C35" s="45"/>
      <x:c r="D35" s="45"/>
      <x:c r="E35" s="45"/>
      <x:c r="F35" s="45"/>
    </x:row>
    <x:row r="36" ht="15" hidden="0" customHeight="1">
      <x:c r="A36" s="45"/>
      <x:c r="B36" s="45"/>
      <x:c r="C36" s="45"/>
      <x:c r="D36" s="45"/>
      <x:c r="E36" s="45"/>
      <x:c r="F36" s="45"/>
    </x:row>
    <x:row r="37" ht="15" hidden="0" customHeight="1">
      <x:c r="A37" s="45"/>
      <x:c r="B37" s="45"/>
      <x:c r="C37" s="45"/>
      <x:c r="D37" s="45"/>
      <x:c r="E37" s="45"/>
      <x:c r="F37" s="45"/>
    </x:row>
    <x:row r="38" ht="15" hidden="0" customHeight="1">
      <x:c r="A38" s="45"/>
      <x:c r="B38" s="45"/>
      <x:c r="C38" s="45"/>
      <x:c r="D38" s="45"/>
      <x:c r="E38" s="45"/>
      <x:c r="F38" s="45"/>
    </x:row>
    <x:row r="39" ht="15" hidden="0" customHeight="1">
      <x:c r="A39" s="45"/>
      <x:c r="B39" s="45"/>
      <x:c r="C39" s="45"/>
      <x:c r="D39" s="45"/>
      <x:c r="E39" s="45"/>
      <x:c r="F39" s="45"/>
    </x:row>
    <x:row r="40" ht="15" hidden="0" customHeight="1">
      <x:c r="A40" s="45"/>
      <x:c r="B40" s="45"/>
      <x:c r="C40" s="45"/>
      <x:c r="D40" s="45"/>
      <x:c r="E40" s="45"/>
      <x:c r="F40" s="45"/>
    </x:row>
    <x:row r="41" ht="15" hidden="0" customHeight="1">
      <x:c r="A41" s="45"/>
      <x:c r="B41" s="45"/>
      <x:c r="C41" s="45"/>
      <x:c r="D41" s="45"/>
      <x:c r="E41" s="45"/>
      <x:c r="F41" s="45"/>
    </x:row>
    <x:row r="42" ht="15" hidden="0" customHeight="1">
      <x:c r="A42" s="45"/>
      <x:c r="B42" s="45"/>
      <x:c r="C42" s="45"/>
      <x:c r="D42" s="45"/>
      <x:c r="E42" s="45"/>
      <x:c r="F42" s="45"/>
    </x:row>
    <x:row r="43" ht="15" hidden="0" customHeight="1">
      <x:c r="A43" s="45"/>
      <x:c r="B43" s="45"/>
      <x:c r="C43" s="45"/>
      <x:c r="D43" s="45"/>
      <x:c r="E43" s="45"/>
      <x:c r="F43" s="45"/>
    </x:row>
    <x:row r="44" ht="15" hidden="0" customHeight="1">
      <x:c r="A44" s="45"/>
      <x:c r="B44" s="45"/>
      <x:c r="C44" s="45"/>
      <x:c r="D44" s="45"/>
      <x:c r="E44" s="45"/>
      <x:c r="F44" s="45"/>
    </x:row>
    <x:row r="45" ht="15" hidden="0" customHeight="1">
      <x:c r="A45" s="45"/>
      <x:c r="B45" s="45"/>
      <x:c r="C45" s="45"/>
      <x:c r="D45" s="45"/>
      <x:c r="E45" s="45"/>
      <x:c r="F45" s="45"/>
    </x:row>
    <x:row r="46" ht="15" hidden="0" customHeight="1">
      <x:c r="A46" s="45"/>
      <x:c r="B46" s="45"/>
      <x:c r="C46" s="45"/>
      <x:c r="D46" s="45"/>
      <x:c r="E46" s="45"/>
      <x:c r="F46" s="45"/>
    </x:row>
    <x:row r="47" ht="15" hidden="0" customHeight="1">
      <x:c r="A47" s="45"/>
      <x:c r="B47" s="45"/>
      <x:c r="C47" s="45"/>
      <x:c r="D47" s="45"/>
      <x:c r="E47" s="45"/>
      <x:c r="F47" s="45"/>
    </x:row>
    <x:row r="48" ht="15" hidden="0" customHeight="1">
      <x:c r="A48" s="45"/>
      <x:c r="B48" s="45"/>
      <x:c r="C48" s="45"/>
      <x:c r="D48" s="45"/>
      <x:c r="E48" s="45"/>
      <x:c r="F48" s="45"/>
    </x:row>
    <x:row r="49" ht="15" hidden="0" customHeight="1">
      <x:c r="A49" s="45"/>
      <x:c r="B49" s="45"/>
      <x:c r="C49" s="45"/>
      <x:c r="D49" s="45"/>
      <x:c r="E49" s="45"/>
      <x:c r="F49" s="45"/>
    </x:row>
    <x:row r="50" ht="15" hidden="0" customHeight="1">
      <x:c r="A50" s="45"/>
      <x:c r="B50" s="45"/>
      <x:c r="C50" s="45"/>
      <x:c r="D50" s="45"/>
      <x:c r="E50" s="45"/>
      <x:c r="F50" s="45"/>
    </x:row>
    <x:row r="51" ht="15" hidden="0" customHeight="1">
      <x:c r="A51" s="45"/>
      <x:c r="B51" s="45"/>
      <x:c r="C51" s="45"/>
      <x:c r="D51" s="45"/>
      <x:c r="E51" s="45"/>
      <x:c r="F51" s="45"/>
    </x:row>
    <x:row r="52" ht="15" hidden="0" customHeight="1">
      <x:c r="A52" s="45"/>
      <x:c r="B52" s="45"/>
      <x:c r="C52" s="45"/>
      <x:c r="D52" s="45"/>
      <x:c r="E52" s="45"/>
      <x:c r="F52" s="45"/>
    </x:row>
    <x:row r="53" ht="15" hidden="0" customHeight="1">
      <x:c r="A53" s="45"/>
      <x:c r="B53" s="45"/>
      <x:c r="C53" s="45"/>
      <x:c r="D53" s="45"/>
      <x:c r="E53" s="45"/>
      <x:c r="F53" s="45"/>
    </x:row>
    <x:row r="54" ht="15" hidden="0" customHeight="1">
      <x:c r="A54" s="45"/>
      <x:c r="B54" s="45"/>
      <x:c r="C54" s="45"/>
      <x:c r="D54" s="45"/>
      <x:c r="E54" s="45"/>
      <x:c r="F54" s="45"/>
    </x:row>
    <x:row r="55" ht="15" hidden="0" customHeight="1">
      <x:c r="A55" s="45"/>
      <x:c r="B55" s="45"/>
      <x:c r="C55" s="45"/>
      <x:c r="D55" s="45"/>
      <x:c r="E55" s="45"/>
      <x:c r="F55" s="45"/>
    </x:row>
    <x:row r="56" ht="15" hidden="0" customHeight="1">
      <x:c r="A56" s="45"/>
      <x:c r="B56" s="45"/>
      <x:c r="C56" s="45"/>
      <x:c r="D56" s="45"/>
      <x:c r="E56" s="45"/>
      <x:c r="F56" s="45"/>
    </x:row>
    <x:row r="57" ht="15" hidden="0" customHeight="1">
      <x:c r="A57" s="45"/>
      <x:c r="B57" s="45"/>
      <x:c r="C57" s="45"/>
      <x:c r="D57" s="45"/>
      <x:c r="E57" s="45"/>
      <x:c r="F57" s="45"/>
    </x:row>
    <x:row r="58" ht="15" hidden="0" customHeight="1">
      <x:c r="A58" s="45"/>
      <x:c r="B58" s="45"/>
      <x:c r="C58" s="45"/>
      <x:c r="D58" s="45"/>
      <x:c r="E58" s="45"/>
      <x:c r="F58" s="45"/>
    </x:row>
    <x:row r="59" ht="15" hidden="0" customHeight="1">
      <x:c r="A59" s="45"/>
      <x:c r="B59" s="45"/>
      <x:c r="C59" s="45"/>
      <x:c r="D59" s="45"/>
      <x:c r="E59" s="45"/>
      <x:c r="F59" s="45"/>
    </x:row>
    <x:row r="60" ht="15" hidden="0" customHeight="1">
      <x:c r="A60" s="45"/>
      <x:c r="B60" s="45"/>
      <x:c r="C60" s="45"/>
      <x:c r="D60" s="45"/>
      <x:c r="E60" s="45"/>
      <x:c r="F60" s="45"/>
    </x:row>
    <x:row r="61" ht="15" hidden="0" customHeight="1">
      <x:c r="A61" s="45"/>
      <x:c r="B61" s="45"/>
      <x:c r="C61" s="45"/>
      <x:c r="D61" s="45"/>
      <x:c r="E61" s="45"/>
      <x:c r="F61" s="45"/>
    </x:row>
    <x:row r="62" ht="15" hidden="0" customHeight="1">
      <x:c r="A62" s="45"/>
      <x:c r="B62" s="45"/>
      <x:c r="C62" s="45"/>
      <x:c r="D62" s="45"/>
      <x:c r="E62" s="45"/>
      <x:c r="F62" s="45"/>
    </x:row>
    <x:row r="63" ht="15" hidden="0" customHeight="1">
      <x:c r="A63" s="45"/>
      <x:c r="B63" s="45"/>
      <x:c r="C63" s="45"/>
      <x:c r="D63" s="45"/>
      <x:c r="E63" s="45"/>
      <x:c r="F63" s="45"/>
    </x:row>
    <x:row r="64" ht="15" hidden="0" customHeight="1">
      <x:c r="A64" s="45"/>
      <x:c r="B64" s="45"/>
      <x:c r="C64" s="45"/>
      <x:c r="D64" s="45"/>
      <x:c r="E64" s="45"/>
      <x:c r="F64" s="45"/>
    </x:row>
    <x:row r="65" ht="15" hidden="0" customHeight="1">
      <x:c r="A65" s="45"/>
      <x:c r="B65" s="45"/>
      <x:c r="C65" s="45"/>
      <x:c r="D65" s="45"/>
      <x:c r="E65" s="45"/>
      <x:c r="F65" s="45"/>
    </x:row>
    <x:row r="66" ht="15" hidden="0" customHeight="1">
      <x:c r="A66" s="45"/>
      <x:c r="B66" s="45"/>
      <x:c r="C66" s="45"/>
      <x:c r="D66" s="45"/>
      <x:c r="E66" s="45"/>
      <x:c r="F66" s="45"/>
    </x:row>
    <x:row r="67" ht="15" hidden="0" customHeight="1">
      <x:c r="A67" s="45"/>
      <x:c r="B67" s="45"/>
      <x:c r="C67" s="45"/>
      <x:c r="D67" s="45"/>
      <x:c r="E67" s="45"/>
      <x:c r="F67" s="45"/>
    </x:row>
    <x:row r="68" ht="15" hidden="0" customHeight="1">
      <x:c r="A68" s="45"/>
      <x:c r="B68" s="45"/>
      <x:c r="C68" s="45"/>
      <x:c r="D68" s="45"/>
      <x:c r="E68" s="45"/>
      <x:c r="F68" s="45"/>
    </x:row>
    <x:row r="69" ht="15" hidden="0" customHeight="1">
      <x:c r="A69" s="45"/>
      <x:c r="B69" s="45"/>
      <x:c r="C69" s="45"/>
      <x:c r="D69" s="45"/>
      <x:c r="E69" s="45"/>
      <x:c r="F69" s="45"/>
    </x:row>
    <x:row r="70" ht="15" hidden="0" customHeight="1">
      <x:c r="A70" s="45"/>
      <x:c r="B70" s="45"/>
      <x:c r="C70" s="45"/>
      <x:c r="D70" s="45"/>
      <x:c r="E70" s="45"/>
      <x:c r="F70" s="45"/>
    </x:row>
    <x:row r="71" ht="15" hidden="0" customHeight="1">
      <x:c r="A71" s="45"/>
      <x:c r="B71" s="45"/>
      <x:c r="C71" s="45"/>
      <x:c r="D71" s="45"/>
      <x:c r="E71" s="45"/>
      <x:c r="F71" s="45"/>
    </x:row>
    <x:row r="72" ht="15" hidden="0" customHeight="1">
      <x:c r="A72" s="45"/>
      <x:c r="B72" s="45"/>
      <x:c r="C72" s="45"/>
      <x:c r="D72" s="45"/>
      <x:c r="E72" s="45"/>
      <x:c r="F72" s="45"/>
    </x:row>
    <x:row r="73" ht="15" hidden="0" customHeight="1">
      <x:c r="A73" s="45"/>
      <x:c r="B73" s="45"/>
      <x:c r="C73" s="45"/>
      <x:c r="D73" s="45"/>
      <x:c r="E73" s="45"/>
      <x:c r="F73" s="45"/>
    </x:row>
    <x:row r="74" ht="15" hidden="0" customHeight="1">
      <x:c r="A74" s="45"/>
      <x:c r="B74" s="45"/>
      <x:c r="C74" s="45"/>
      <x:c r="D74" s="45"/>
      <x:c r="E74" s="45"/>
      <x:c r="F74" s="45"/>
    </x:row>
    <x:row r="75" ht="15" hidden="0" customHeight="1">
      <x:c r="A75" s="45"/>
      <x:c r="B75" s="45"/>
      <x:c r="C75" s="45"/>
      <x:c r="D75" s="45"/>
      <x:c r="E75" s="45"/>
      <x:c r="F75" s="45"/>
    </x:row>
    <x:row r="76" ht="15" hidden="0" customHeight="1">
      <x:c r="A76" s="45"/>
      <x:c r="B76" s="45"/>
      <x:c r="C76" s="45"/>
      <x:c r="D76" s="45"/>
      <x:c r="E76" s="45"/>
      <x:c r="F76" s="45"/>
    </x:row>
    <x:row r="77" ht="15" hidden="0" customHeight="1">
      <x:c r="A77" s="45"/>
      <x:c r="B77" s="45"/>
      <x:c r="C77" s="45"/>
      <x:c r="D77" s="45"/>
      <x:c r="E77" s="45"/>
      <x:c r="F77" s="45"/>
    </x:row>
    <x:row r="78" ht="15" hidden="0" customHeight="1">
      <x:c r="A78" s="45"/>
      <x:c r="B78" s="45"/>
      <x:c r="C78" s="45"/>
      <x:c r="D78" s="45"/>
      <x:c r="E78" s="45"/>
      <x:c r="F78" s="45"/>
    </x:row>
    <x:row r="79" ht="15" hidden="0" customHeight="1">
      <x:c r="A79" s="45"/>
      <x:c r="B79" s="45"/>
      <x:c r="C79" s="45"/>
      <x:c r="D79" s="45"/>
      <x:c r="E79" s="45"/>
      <x:c r="F79" s="45"/>
    </x:row>
    <x:row r="80" ht="15" hidden="0" customHeight="1">
      <x:c r="A80" s="45"/>
      <x:c r="B80" s="45"/>
      <x:c r="C80" s="45"/>
      <x:c r="D80" s="45"/>
      <x:c r="E80" s="45"/>
      <x:c r="F80" s="45"/>
    </x:row>
    <x:row r="81" ht="15" hidden="0" customHeight="1">
      <x:c r="A81" s="45"/>
      <x:c r="B81" s="45"/>
      <x:c r="C81" s="45"/>
      <x:c r="D81" s="45"/>
      <x:c r="E81" s="45"/>
      <x:c r="F81" s="45"/>
    </x:row>
    <x:row r="82" ht="15" hidden="0" customHeight="1">
      <x:c r="A82" s="45"/>
      <x:c r="B82" s="45"/>
      <x:c r="C82" s="45"/>
      <x:c r="D82" s="45"/>
      <x:c r="E82" s="45"/>
      <x:c r="F82" s="45"/>
    </x:row>
    <x:row r="83" ht="15" hidden="0" customHeight="1">
      <x:c r="A83" s="45"/>
      <x:c r="B83" s="45"/>
      <x:c r="C83" s="45"/>
      <x:c r="D83" s="45"/>
      <x:c r="E83" s="45"/>
      <x:c r="F83" s="45"/>
    </x:row>
    <x:row r="84" ht="15" hidden="0" customHeight="1">
      <x:c r="A84" s="45"/>
      <x:c r="B84" s="45"/>
      <x:c r="C84" s="45"/>
      <x:c r="D84" s="45"/>
      <x:c r="E84" s="45"/>
      <x:c r="F84" s="45"/>
    </x:row>
    <x:row r="85" ht="15" hidden="0" customHeight="1">
      <x:c r="A85" s="45"/>
      <x:c r="B85" s="45"/>
      <x:c r="C85" s="45"/>
      <x:c r="D85" s="45"/>
      <x:c r="E85" s="45"/>
      <x:c r="F85" s="45"/>
    </x:row>
    <x:row r="86" ht="15" hidden="0" customHeight="1">
      <x:c r="A86" s="45"/>
      <x:c r="B86" s="45"/>
      <x:c r="C86" s="45"/>
      <x:c r="D86" s="45"/>
      <x:c r="E86" s="45"/>
      <x:c r="F86" s="45"/>
    </x:row>
    <x:row r="87" ht="15" hidden="0" customHeight="1">
      <x:c r="A87" s="45"/>
      <x:c r="B87" s="45"/>
      <x:c r="C87" s="45"/>
      <x:c r="D87" s="45"/>
      <x:c r="E87" s="45"/>
      <x:c r="F87" s="45"/>
    </x:row>
    <x:row r="88" ht="15" hidden="0" customHeight="1">
      <x:c r="A88" s="45"/>
      <x:c r="B88" s="45"/>
      <x:c r="C88" s="45"/>
      <x:c r="D88" s="45"/>
      <x:c r="E88" s="45"/>
      <x:c r="F88" s="45"/>
    </x:row>
    <x:row r="89" ht="15" hidden="0" customHeight="1">
      <x:c r="A89" s="45"/>
      <x:c r="B89" s="45"/>
      <x:c r="C89" s="45"/>
      <x:c r="D89" s="45"/>
      <x:c r="E89" s="45"/>
      <x:c r="F89" s="45"/>
    </x:row>
    <x:row r="90" ht="15" hidden="0" customHeight="1">
      <x:c r="A90" s="45"/>
      <x:c r="B90" s="45"/>
      <x:c r="C90" s="45"/>
      <x:c r="D90" s="45"/>
      <x:c r="E90" s="45"/>
      <x:c r="F90" s="45"/>
    </x:row>
    <x:row r="91" ht="15" hidden="0" customHeight="1">
      <x:c r="A91" s="45"/>
      <x:c r="B91" s="45"/>
      <x:c r="C91" s="45"/>
      <x:c r="D91" s="45"/>
      <x:c r="E91" s="45"/>
      <x:c r="F91" s="45"/>
    </x:row>
    <x:row r="92" ht="15" hidden="0" customHeight="1">
      <x:c r="A92" s="45"/>
      <x:c r="B92" s="45"/>
      <x:c r="C92" s="45"/>
      <x:c r="D92" s="45"/>
      <x:c r="E92" s="45"/>
      <x:c r="F92" s="45"/>
    </x:row>
    <x:row r="93" ht="15" hidden="0" customHeight="1">
      <x:c r="A93" s="45"/>
      <x:c r="B93" s="45"/>
      <x:c r="C93" s="45"/>
      <x:c r="D93" s="45"/>
      <x:c r="E93" s="45"/>
      <x:c r="F93" s="45"/>
    </x:row>
    <x:row r="94" ht="15" hidden="0" customHeight="1">
      <x:c r="A94" s="45"/>
      <x:c r="B94" s="45"/>
      <x:c r="C94" s="45"/>
      <x:c r="D94" s="45"/>
      <x:c r="E94" s="45"/>
      <x:c r="F94" s="45"/>
    </x:row>
    <x:row r="95" ht="15" hidden="0" customHeight="1">
      <x:c r="A95" s="45"/>
      <x:c r="B95" s="45"/>
      <x:c r="C95" s="45"/>
      <x:c r="D95" s="45"/>
      <x:c r="E95" s="45"/>
      <x:c r="F95" s="45"/>
    </x:row>
    <x:row r="96" ht="15" hidden="0" customHeight="1">
      <x:c r="A96" s="45"/>
      <x:c r="B96" s="45"/>
      <x:c r="C96" s="45"/>
      <x:c r="D96" s="45"/>
      <x:c r="E96" s="45"/>
      <x:c r="F96" s="45"/>
    </x:row>
    <x:row r="97" ht="15" hidden="0" customHeight="1">
      <x:c r="A97" s="45"/>
      <x:c r="B97" s="45"/>
      <x:c r="C97" s="45"/>
      <x:c r="D97" s="45"/>
      <x:c r="E97" s="45"/>
      <x:c r="F97" s="45"/>
    </x:row>
    <x:row r="98" ht="15" hidden="0" customHeight="1">
      <x:c r="A98" s="45"/>
      <x:c r="B98" s="45"/>
      <x:c r="C98" s="45"/>
      <x:c r="D98" s="45"/>
      <x:c r="E98" s="45"/>
      <x:c r="F98" s="45"/>
    </x:row>
    <x:row r="99" ht="15" hidden="0" customHeight="1">
      <x:c r="A99" s="45"/>
      <x:c r="B99" s="45"/>
      <x:c r="C99" s="45"/>
      <x:c r="D99" s="45"/>
      <x:c r="E99" s="45"/>
      <x:c r="F99" s="45"/>
    </x:row>
    <x:row r="100" ht="15" hidden="0" customHeight="1">
      <x:c r="A100" s="45"/>
      <x:c r="B100" s="45"/>
      <x:c r="C100" s="45"/>
      <x:c r="D100" s="45"/>
      <x:c r="E100" s="45"/>
      <x:c r="F100" s="45"/>
    </x:row>
    <x:row r="101" ht="15" hidden="0" customHeight="1">
      <x:c r="A101" s="45"/>
      <x:c r="B101" s="45"/>
      <x:c r="C101" s="45"/>
      <x:c r="D101" s="45"/>
      <x:c r="E101" s="45"/>
      <x:c r="F101" s="45"/>
    </x:row>
    <x:row r="102" ht="15" hidden="0" customHeight="1">
      <x:c r="A102" s="45"/>
      <x:c r="B102" s="45"/>
      <x:c r="C102" s="45"/>
      <x:c r="D102" s="45"/>
      <x:c r="E102" s="45"/>
      <x:c r="F102" s="45"/>
    </x:row>
    <x:row r="103" ht="15" hidden="0" customHeight="1">
      <x:c r="A103" s="45"/>
      <x:c r="B103" s="45"/>
      <x:c r="C103" s="45"/>
      <x:c r="D103" s="45"/>
      <x:c r="E103" s="45"/>
      <x:c r="F103" s="45"/>
    </x:row>
    <x:row r="104" ht="15" hidden="0" customHeight="1">
      <x:c r="A104" s="45"/>
      <x:c r="B104" s="45"/>
      <x:c r="C104" s="45"/>
      <x:c r="D104" s="45"/>
      <x:c r="E104" s="45"/>
      <x:c r="F104" s="45"/>
    </x:row>
    <x:row r="105" ht="15" hidden="0" customHeight="1">
      <x:c r="A105" s="45"/>
      <x:c r="B105" s="45"/>
      <x:c r="C105" s="45"/>
      <x:c r="D105" s="45"/>
      <x:c r="E105" s="45"/>
      <x:c r="F105" s="45"/>
    </x:row>
    <x:row r="106" ht="15" hidden="0" customHeight="1">
      <x:c r="A106" s="45"/>
      <x:c r="B106" s="45"/>
      <x:c r="C106" s="45"/>
      <x:c r="D106" s="45"/>
      <x:c r="E106" s="45"/>
      <x:c r="F106" s="45"/>
    </x:row>
    <x:row r="107" ht="15" hidden="0" customHeight="1">
      <x:c r="A107" s="45"/>
      <x:c r="B107" s="45"/>
      <x:c r="C107" s="45"/>
      <x:c r="D107" s="45"/>
      <x:c r="E107" s="45"/>
      <x:c r="F107" s="45"/>
    </x:row>
    <x:row r="108" ht="15" hidden="0" customHeight="1">
      <x:c r="A108" s="45"/>
      <x:c r="B108" s="45"/>
      <x:c r="C108" s="45"/>
      <x:c r="D108" s="45"/>
      <x:c r="E108" s="45"/>
      <x:c r="F108" s="45"/>
    </x:row>
    <x:row r="109" ht="15" hidden="0" customHeight="1">
      <x:c r="A109" s="45"/>
      <x:c r="B109" s="45"/>
      <x:c r="C109" s="45"/>
      <x:c r="D109" s="45"/>
      <x:c r="E109" s="45"/>
      <x:c r="F109" s="45"/>
    </x:row>
    <x:row r="110" ht="15" hidden="0" customHeight="1">
      <x:c r="A110" s="45"/>
      <x:c r="B110" s="45"/>
      <x:c r="C110" s="45"/>
      <x:c r="D110" s="45"/>
      <x:c r="E110" s="45"/>
      <x:c r="F110" s="45"/>
    </x:row>
    <x:row r="111" ht="15" hidden="0" customHeight="1">
      <x:c r="A111" s="45"/>
      <x:c r="B111" s="45"/>
      <x:c r="C111" s="45"/>
      <x:c r="D111" s="45"/>
      <x:c r="E111" s="45"/>
      <x:c r="F111" s="45"/>
    </x:row>
    <x:row r="112" ht="15" hidden="0" customHeight="1">
      <x:c r="A112" s="45"/>
      <x:c r="B112" s="45"/>
      <x:c r="C112" s="45"/>
      <x:c r="D112" s="45"/>
      <x:c r="E112" s="45"/>
      <x:c r="F112" s="45"/>
    </x:row>
    <x:row r="113" ht="15" hidden="0" customHeight="1">
      <x:c r="A113" s="45"/>
      <x:c r="B113" s="45"/>
      <x:c r="C113" s="45"/>
      <x:c r="D113" s="45"/>
      <x:c r="E113" s="45"/>
      <x:c r="F113" s="45"/>
    </x:row>
    <x:row r="114" ht="15" hidden="0" customHeight="1">
      <x:c r="A114" s="45"/>
      <x:c r="B114" s="45"/>
      <x:c r="C114" s="45"/>
      <x:c r="D114" s="45"/>
      <x:c r="E114" s="45"/>
      <x:c r="F114" s="45"/>
    </x:row>
    <x:row r="115" ht="15" hidden="0" customHeight="1">
      <x:c r="A115" s="45"/>
      <x:c r="B115" s="45"/>
      <x:c r="C115" s="45"/>
      <x:c r="D115" s="45"/>
      <x:c r="E115" s="45"/>
      <x:c r="F115" s="45"/>
    </x:row>
    <x:row r="116" ht="15" hidden="0" customHeight="1">
      <x:c r="A116" s="45"/>
      <x:c r="B116" s="45"/>
      <x:c r="C116" s="45"/>
      <x:c r="D116" s="45"/>
      <x:c r="E116" s="45"/>
      <x:c r="F116" s="45"/>
    </x:row>
    <x:row r="117" ht="15" hidden="0" customHeight="1">
      <x:c r="A117" s="45"/>
      <x:c r="B117" s="45"/>
      <x:c r="C117" s="45"/>
      <x:c r="D117" s="45"/>
      <x:c r="E117" s="45"/>
      <x:c r="F117" s="45"/>
    </x:row>
    <x:row r="118" ht="15" hidden="0" customHeight="1">
      <x:c r="A118" s="45"/>
      <x:c r="B118" s="45"/>
      <x:c r="C118" s="45"/>
      <x:c r="D118" s="45"/>
      <x:c r="E118" s="45"/>
      <x:c r="F118" s="45"/>
    </x:row>
    <x:row r="119" ht="15" hidden="0" customHeight="1">
      <x:c r="A119" s="45"/>
      <x:c r="B119" s="45"/>
      <x:c r="C119" s="45"/>
      <x:c r="D119" s="45"/>
      <x:c r="E119" s="45"/>
      <x:c r="F119" s="45"/>
    </x:row>
    <x:row r="120" ht="15" hidden="0" customHeight="1">
      <x:c r="A120" s="45"/>
      <x:c r="B120" s="45"/>
      <x:c r="C120" s="45"/>
      <x:c r="D120" s="45"/>
      <x:c r="E120" s="45"/>
      <x:c r="F120" s="45"/>
    </x:row>
    <x:row r="121" ht="15" hidden="0" customHeight="1">
      <x:c r="A121" s="45"/>
      <x:c r="B121" s="45"/>
      <x:c r="C121" s="45"/>
      <x:c r="D121" s="45"/>
      <x:c r="E121" s="45"/>
      <x:c r="F121" s="45"/>
    </x:row>
    <x:row r="122" ht="15" hidden="0" customHeight="1">
      <x:c r="A122" s="45"/>
      <x:c r="B122" s="45"/>
      <x:c r="C122" s="45"/>
      <x:c r="D122" s="45"/>
      <x:c r="E122" s="45"/>
      <x:c r="F122" s="45"/>
    </x:row>
    <x:row r="123" ht="15" hidden="0" customHeight="1">
      <x:c r="A123" s="45"/>
      <x:c r="B123" s="45"/>
      <x:c r="C123" s="45"/>
      <x:c r="D123" s="45"/>
      <x:c r="E123" s="45"/>
      <x:c r="F123" s="45"/>
    </x:row>
    <x:row r="124" ht="15" hidden="0" customHeight="1">
      <x:c r="A124" s="45"/>
      <x:c r="B124" s="45"/>
      <x:c r="C124" s="45"/>
      <x:c r="D124" s="45"/>
      <x:c r="E124" s="45"/>
      <x:c r="F124" s="45"/>
    </x:row>
    <x:row r="125" ht="15" hidden="0" customHeight="1">
      <x:c r="A125" s="45"/>
      <x:c r="B125" s="45"/>
      <x:c r="C125" s="45"/>
      <x:c r="D125" s="45"/>
      <x:c r="E125" s="45"/>
      <x:c r="F125" s="45"/>
    </x:row>
    <x:row r="126" ht="15" hidden="0" customHeight="1">
      <x:c r="A126" s="45"/>
      <x:c r="B126" s="45"/>
      <x:c r="C126" s="45"/>
      <x:c r="D126" s="45"/>
      <x:c r="E126" s="45"/>
      <x:c r="F126" s="45"/>
    </x:row>
    <x:row r="127" ht="15" hidden="0" customHeight="1">
      <x:c r="A127" s="45"/>
      <x:c r="B127" s="45"/>
      <x:c r="C127" s="45"/>
      <x:c r="D127" s="45"/>
      <x:c r="E127" s="45"/>
      <x:c r="F127" s="45"/>
    </x:row>
    <x:row r="128" ht="15" hidden="0" customHeight="1">
      <x:c r="A128" s="45"/>
      <x:c r="B128" s="45"/>
      <x:c r="C128" s="45"/>
      <x:c r="D128" s="45"/>
      <x:c r="E128" s="45"/>
      <x:c r="F128" s="45"/>
    </x:row>
    <x:row r="129" ht="15" hidden="0" customHeight="1">
      <x:c r="A129" s="45"/>
      <x:c r="B129" s="45"/>
      <x:c r="C129" s="45"/>
      <x:c r="D129" s="45"/>
      <x:c r="E129" s="45"/>
      <x:c r="F129" s="45"/>
    </x:row>
    <x:row r="130" ht="15" hidden="0" customHeight="1">
      <x:c r="A130" s="45"/>
      <x:c r="B130" s="45"/>
      <x:c r="C130" s="45"/>
      <x:c r="D130" s="45"/>
      <x:c r="E130" s="45"/>
      <x:c r="F130" s="45"/>
    </x:row>
    <x:row r="131" ht="15" hidden="0" customHeight="1">
      <x:c r="A131" s="45"/>
      <x:c r="B131" s="45"/>
      <x:c r="C131" s="45"/>
      <x:c r="D131" s="45"/>
      <x:c r="E131" s="45"/>
      <x:c r="F131" s="45"/>
    </x:row>
    <x:row r="132" ht="15" hidden="0" customHeight="1">
      <x:c r="A132" s="45"/>
      <x:c r="B132" s="45"/>
      <x:c r="C132" s="45"/>
      <x:c r="D132" s="45"/>
      <x:c r="E132" s="45"/>
      <x:c r="F132" s="45"/>
    </x:row>
    <x:row r="133" ht="15" hidden="0" customHeight="1">
      <x:c r="A133" s="45"/>
      <x:c r="B133" s="45"/>
      <x:c r="C133" s="45"/>
      <x:c r="D133" s="45"/>
      <x:c r="E133" s="45"/>
      <x:c r="F133" s="45"/>
    </x:row>
    <x:row r="134" ht="15" hidden="0" customHeight="1">
      <x:c r="A134" s="45"/>
      <x:c r="B134" s="45"/>
      <x:c r="C134" s="45"/>
      <x:c r="D134" s="45"/>
      <x:c r="E134" s="45"/>
      <x:c r="F134" s="45"/>
    </x:row>
    <x:row r="135" ht="15" hidden="0" customHeight="1">
      <x:c r="A135" s="45"/>
      <x:c r="B135" s="45"/>
      <x:c r="C135" s="45"/>
      <x:c r="D135" s="45"/>
      <x:c r="E135" s="45"/>
      <x:c r="F135" s="45"/>
    </x:row>
    <x:row r="136" ht="15" hidden="0" customHeight="1">
      <x:c r="A136" s="45"/>
      <x:c r="B136" s="45"/>
      <x:c r="C136" s="45"/>
      <x:c r="D136" s="45"/>
      <x:c r="E136" s="45"/>
      <x:c r="F136" s="45"/>
    </x:row>
    <x:row r="137" ht="15" hidden="0" customHeight="1">
      <x:c r="A137" s="45"/>
      <x:c r="B137" s="45"/>
      <x:c r="C137" s="45"/>
      <x:c r="D137" s="45"/>
      <x:c r="E137" s="45"/>
      <x:c r="F137" s="45"/>
    </x:row>
    <x:row r="138" ht="15" hidden="0" customHeight="1">
      <x:c r="A138" s="45"/>
      <x:c r="B138" s="45"/>
      <x:c r="C138" s="45"/>
      <x:c r="D138" s="45"/>
      <x:c r="E138" s="45"/>
      <x:c r="F138" s="45"/>
    </x:row>
    <x:row r="139" ht="15" hidden="0" customHeight="1">
      <x:c r="A139" s="45"/>
      <x:c r="B139" s="45"/>
      <x:c r="C139" s="45"/>
      <x:c r="D139" s="45"/>
      <x:c r="E139" s="45"/>
      <x:c r="F139" s="45"/>
    </x:row>
    <x:row r="140" ht="15" hidden="0" customHeight="1">
      <x:c r="A140" s="45"/>
      <x:c r="B140" s="45"/>
      <x:c r="C140" s="45"/>
      <x:c r="D140" s="45"/>
      <x:c r="E140" s="45"/>
      <x:c r="F140" s="45"/>
    </x:row>
    <x:row r="141" ht="15" hidden="0" customHeight="1">
      <x:c r="A141" s="45"/>
      <x:c r="B141" s="45"/>
      <x:c r="C141" s="45"/>
      <x:c r="D141" s="45"/>
      <x:c r="E141" s="45"/>
      <x:c r="F141" s="45"/>
    </x:row>
    <x:row r="142" ht="15" hidden="0" customHeight="1">
      <x:c r="A142" s="45"/>
      <x:c r="B142" s="45"/>
      <x:c r="C142" s="45"/>
      <x:c r="D142" s="45"/>
      <x:c r="E142" s="45"/>
      <x:c r="F142" s="45"/>
    </x:row>
    <x:row r="143" ht="15" hidden="0" customHeight="1">
      <x:c r="A143" s="45"/>
      <x:c r="B143" s="45"/>
      <x:c r="C143" s="45"/>
      <x:c r="D143" s="45"/>
      <x:c r="E143" s="45"/>
      <x:c r="F143" s="45"/>
    </x:row>
    <x:row r="144" ht="15" hidden="0" customHeight="1">
      <x:c r="A144" s="45"/>
      <x:c r="B144" s="45"/>
      <x:c r="C144" s="45"/>
      <x:c r="D144" s="45"/>
      <x:c r="E144" s="45"/>
      <x:c r="F144" s="45"/>
    </x:row>
    <x:row r="145" ht="15" hidden="0" customHeight="1">
      <x:c r="A145" s="45"/>
      <x:c r="B145" s="45"/>
      <x:c r="C145" s="45"/>
      <x:c r="D145" s="45"/>
      <x:c r="E145" s="45"/>
      <x:c r="F145" s="45"/>
    </x:row>
    <x:row r="146" ht="15" hidden="0" customHeight="1">
      <x:c r="A146" s="45"/>
      <x:c r="B146" s="45"/>
      <x:c r="C146" s="45"/>
      <x:c r="D146" s="45"/>
      <x:c r="E146" s="45"/>
      <x:c r="F146" s="45"/>
    </x:row>
    <x:row r="147" ht="15" hidden="0" customHeight="1">
      <x:c r="A147" s="45"/>
      <x:c r="B147" s="45"/>
      <x:c r="C147" s="45"/>
      <x:c r="D147" s="45"/>
      <x:c r="E147" s="45"/>
      <x:c r="F147" s="45"/>
    </x:row>
    <x:row r="148" ht="15" hidden="0" customHeight="1">
      <x:c r="A148" s="45"/>
      <x:c r="B148" s="45"/>
      <x:c r="C148" s="45"/>
      <x:c r="D148" s="45"/>
      <x:c r="E148" s="45"/>
      <x:c r="F148" s="45"/>
    </x:row>
    <x:row r="149" ht="15" hidden="0" customHeight="1">
      <x:c r="A149" s="45"/>
      <x:c r="B149" s="45"/>
      <x:c r="C149" s="45"/>
      <x:c r="D149" s="45"/>
      <x:c r="E149" s="45"/>
      <x:c r="F149" s="45"/>
    </x:row>
    <x:row r="150" ht="15" hidden="0" customHeight="1">
      <x:c r="A150" s="45"/>
      <x:c r="B150" s="45"/>
      <x:c r="C150" s="45"/>
      <x:c r="D150" s="45"/>
      <x:c r="E150" s="45"/>
      <x:c r="F150" s="45"/>
    </x:row>
    <x:row r="151" ht="15" hidden="0" customHeight="1">
      <x:c r="A151" s="45"/>
      <x:c r="B151" s="45"/>
      <x:c r="C151" s="45"/>
      <x:c r="D151" s="45"/>
      <x:c r="E151" s="45"/>
      <x:c r="F151" s="45"/>
    </x:row>
    <x:row r="152" ht="15" hidden="0" customHeight="1">
      <x:c r="A152" s="45"/>
      <x:c r="B152" s="45"/>
      <x:c r="C152" s="45"/>
      <x:c r="D152" s="45"/>
      <x:c r="E152" s="45"/>
      <x:c r="F152" s="45"/>
    </x:row>
    <x:row r="153" ht="15" hidden="0" customHeight="1">
      <x:c r="A153" s="45"/>
      <x:c r="B153" s="45"/>
      <x:c r="C153" s="45"/>
      <x:c r="D153" s="45"/>
      <x:c r="E153" s="45"/>
      <x:c r="F153" s="45"/>
    </x:row>
    <x:row r="154" ht="15" hidden="0" customHeight="1">
      <x:c r="A154" s="45"/>
      <x:c r="B154" s="45"/>
      <x:c r="C154" s="45"/>
      <x:c r="D154" s="45"/>
      <x:c r="E154" s="45"/>
      <x:c r="F154" s="45"/>
    </x:row>
    <x:row r="155" ht="15" hidden="0" customHeight="1">
      <x:c r="A155" s="45"/>
      <x:c r="B155" s="45"/>
      <x:c r="C155" s="45"/>
      <x:c r="D155" s="45"/>
      <x:c r="E155" s="45"/>
      <x:c r="F155" s="45"/>
    </x:row>
    <x:row r="156" ht="15" hidden="0" customHeight="1">
      <x:c r="A156" s="45"/>
      <x:c r="B156" s="45"/>
      <x:c r="C156" s="45"/>
      <x:c r="D156" s="45"/>
      <x:c r="E156" s="45"/>
      <x:c r="F156" s="45"/>
    </x:row>
    <x:row r="157" ht="15" hidden="0" customHeight="1">
      <x:c r="A157" s="45"/>
      <x:c r="B157" s="45"/>
      <x:c r="C157" s="45"/>
      <x:c r="D157" s="45"/>
      <x:c r="E157" s="45"/>
      <x:c r="F157" s="45"/>
    </x:row>
    <x:row r="158" ht="15" hidden="0" customHeight="1">
      <x:c r="A158" s="45"/>
      <x:c r="B158" s="45"/>
      <x:c r="C158" s="45"/>
      <x:c r="D158" s="45"/>
      <x:c r="E158" s="45"/>
      <x:c r="F158" s="45"/>
    </x:row>
    <x:row r="159" ht="15" hidden="0" customHeight="1">
      <x:c r="A159" s="45"/>
      <x:c r="B159" s="45"/>
      <x:c r="C159" s="45"/>
      <x:c r="D159" s="45"/>
      <x:c r="E159" s="45"/>
      <x:c r="F159" s="45"/>
    </x:row>
    <x:row r="160" ht="15" hidden="0" customHeight="1">
      <x:c r="A160" s="45"/>
      <x:c r="B160" s="45"/>
      <x:c r="C160" s="45"/>
      <x:c r="D160" s="45"/>
      <x:c r="E160" s="45"/>
      <x:c r="F160" s="45"/>
    </x:row>
    <x:row r="161" ht="15" hidden="0" customHeight="1">
      <x:c r="A161" s="45"/>
      <x:c r="B161" s="45"/>
      <x:c r="C161" s="45"/>
      <x:c r="D161" s="45"/>
      <x:c r="E161" s="45"/>
      <x:c r="F161" s="45"/>
    </x:row>
    <x:row r="162" ht="15" hidden="0" customHeight="1">
      <x:c r="A162" s="45"/>
      <x:c r="B162" s="45"/>
      <x:c r="C162" s="45"/>
      <x:c r="D162" s="45"/>
      <x:c r="E162" s="45"/>
      <x:c r="F162" s="45"/>
    </x:row>
    <x:row r="163" ht="15" hidden="0" customHeight="1">
      <x:c r="A163" s="45"/>
      <x:c r="B163" s="45"/>
      <x:c r="C163" s="45"/>
      <x:c r="D163" s="45"/>
      <x:c r="E163" s="45"/>
      <x:c r="F163" s="45"/>
    </x:row>
    <x:row r="164" ht="15" hidden="0" customHeight="1">
      <x:c r="A164" s="45"/>
      <x:c r="B164" s="45"/>
      <x:c r="C164" s="45"/>
      <x:c r="D164" s="45"/>
      <x:c r="E164" s="45"/>
      <x:c r="F164" s="45"/>
    </x:row>
    <x:row r="165" ht="15" hidden="0" customHeight="1">
      <x:c r="A165" s="45"/>
      <x:c r="B165" s="45"/>
      <x:c r="C165" s="45"/>
      <x:c r="D165" s="45"/>
      <x:c r="E165" s="45"/>
      <x:c r="F165" s="45"/>
    </x:row>
    <x:row r="166" ht="15" hidden="0" customHeight="1">
      <x:c r="A166" s="45"/>
      <x:c r="B166" s="45"/>
      <x:c r="C166" s="45"/>
      <x:c r="D166" s="45"/>
      <x:c r="E166" s="45"/>
      <x:c r="F166" s="45"/>
    </x:row>
    <x:row r="167" ht="15" hidden="0" customHeight="1">
      <x:c r="A167" s="45"/>
      <x:c r="B167" s="45"/>
      <x:c r="C167" s="45"/>
      <x:c r="D167" s="45"/>
      <x:c r="E167" s="45"/>
      <x:c r="F167" s="45"/>
    </x:row>
    <x:row r="168" ht="15" hidden="0" customHeight="1">
      <x:c r="A168" s="45"/>
      <x:c r="B168" s="45"/>
      <x:c r="C168" s="45"/>
      <x:c r="D168" s="45"/>
      <x:c r="E168" s="45"/>
      <x:c r="F168" s="45"/>
    </x:row>
    <x:row r="169" ht="15" hidden="0" customHeight="1">
      <x:c r="A169" s="45"/>
      <x:c r="B169" s="45"/>
      <x:c r="C169" s="45"/>
      <x:c r="D169" s="45"/>
      <x:c r="E169" s="45"/>
      <x:c r="F169" s="45"/>
    </x:row>
    <x:row r="170" ht="15" hidden="0" customHeight="1">
      <x:c r="A170" s="45"/>
      <x:c r="B170" s="45"/>
      <x:c r="C170" s="45"/>
      <x:c r="D170" s="45"/>
      <x:c r="E170" s="45"/>
      <x:c r="F170" s="45"/>
    </x:row>
    <x:row r="171" ht="15" hidden="0" customHeight="1">
      <x:c r="A171" s="45"/>
      <x:c r="B171" s="45"/>
      <x:c r="C171" s="45"/>
      <x:c r="D171" s="45"/>
      <x:c r="E171" s="45"/>
      <x:c r="F171" s="45"/>
    </x:row>
    <x:row r="172" ht="15" hidden="0" customHeight="1">
      <x:c r="A172" s="45"/>
      <x:c r="B172" s="45"/>
      <x:c r="C172" s="45"/>
      <x:c r="D172" s="45"/>
      <x:c r="E172" s="45"/>
      <x:c r="F172" s="45"/>
    </x:row>
    <x:row r="173" ht="15" hidden="0" customHeight="1">
      <x:c r="A173" s="45"/>
      <x:c r="B173" s="45"/>
      <x:c r="C173" s="45"/>
      <x:c r="D173" s="45"/>
      <x:c r="E173" s="45"/>
      <x:c r="F173" s="45"/>
    </x:row>
    <x:row r="174" ht="15" hidden="0" customHeight="1">
      <x:c r="A174" s="45"/>
      <x:c r="B174" s="45"/>
      <x:c r="C174" s="45"/>
      <x:c r="D174" s="45"/>
      <x:c r="E174" s="45"/>
      <x:c r="F174" s="45"/>
    </x:row>
    <x:row r="175" ht="15" hidden="0" customHeight="1">
      <x:c r="A175" s="45"/>
      <x:c r="B175" s="45"/>
      <x:c r="C175" s="45"/>
      <x:c r="D175" s="45"/>
      <x:c r="E175" s="45"/>
      <x:c r="F175" s="45"/>
    </x:row>
    <x:row r="176" ht="15" hidden="0" customHeight="1">
      <x:c r="A176" s="45"/>
      <x:c r="B176" s="45"/>
      <x:c r="C176" s="45"/>
      <x:c r="D176" s="45"/>
      <x:c r="E176" s="45"/>
      <x:c r="F176" s="45"/>
    </x:row>
    <x:row r="177" ht="15" hidden="0" customHeight="1">
      <x:c r="A177" s="45"/>
      <x:c r="B177" s="45"/>
      <x:c r="C177" s="45"/>
      <x:c r="D177" s="45"/>
      <x:c r="E177" s="45"/>
      <x:c r="F177" s="45"/>
    </x:row>
    <x:row r="178" ht="15" hidden="0" customHeight="1">
      <x:c r="A178" s="45"/>
      <x:c r="B178" s="45"/>
      <x:c r="C178" s="45"/>
      <x:c r="D178" s="45"/>
      <x:c r="E178" s="45"/>
      <x:c r="F178" s="45"/>
    </x:row>
    <x:row r="179" ht="15" hidden="0" customHeight="1">
      <x:c r="A179" s="45"/>
      <x:c r="B179" s="45"/>
      <x:c r="C179" s="45"/>
      <x:c r="D179" s="45"/>
      <x:c r="E179" s="45"/>
      <x:c r="F179" s="45"/>
    </x:row>
    <x:row r="180" ht="15" hidden="0" customHeight="1">
      <x:c r="A180" s="45"/>
      <x:c r="B180" s="45"/>
      <x:c r="C180" s="45"/>
      <x:c r="D180" s="45"/>
      <x:c r="E180" s="45"/>
      <x:c r="F180" s="45"/>
    </x:row>
    <x:row r="181" ht="15" hidden="0" customHeight="1">
      <x:c r="A181" s="45"/>
      <x:c r="B181" s="45"/>
      <x:c r="C181" s="45"/>
      <x:c r="D181" s="45"/>
      <x:c r="E181" s="45"/>
      <x:c r="F181" s="45"/>
    </x:row>
    <x:row r="182" ht="15" hidden="0" customHeight="1">
      <x:c r="A182" s="45"/>
      <x:c r="B182" s="45"/>
      <x:c r="C182" s="45"/>
      <x:c r="D182" s="45"/>
      <x:c r="E182" s="45"/>
      <x:c r="F182" s="45"/>
    </x:row>
    <x:row r="183" ht="15" hidden="0" customHeight="1">
      <x:c r="A183" s="45"/>
      <x:c r="B183" s="45"/>
      <x:c r="C183" s="45"/>
      <x:c r="D183" s="45"/>
      <x:c r="E183" s="45"/>
      <x:c r="F183" s="45"/>
    </x:row>
    <x:row r="184" ht="15" hidden="0" customHeight="1">
      <x:c r="A184" s="45"/>
      <x:c r="B184" s="45"/>
      <x:c r="C184" s="45"/>
      <x:c r="D184" s="45"/>
      <x:c r="E184" s="45"/>
      <x:c r="F184" s="45"/>
    </x:row>
    <x:row r="185" ht="15" hidden="0" customHeight="1">
      <x:c r="A185" s="45"/>
      <x:c r="B185" s="45"/>
      <x:c r="C185" s="45"/>
      <x:c r="D185" s="45"/>
      <x:c r="E185" s="45"/>
      <x:c r="F185" s="45"/>
    </x:row>
    <x:row r="186" ht="15" hidden="0" customHeight="1">
      <x:c r="A186" s="45"/>
      <x:c r="B186" s="45"/>
      <x:c r="C186" s="45"/>
      <x:c r="D186" s="45"/>
      <x:c r="E186" s="45"/>
      <x:c r="F186" s="45"/>
    </x:row>
    <x:row r="187" ht="15" hidden="0" customHeight="1">
      <x:c r="A187" s="45"/>
      <x:c r="B187" s="45"/>
      <x:c r="C187" s="45"/>
      <x:c r="D187" s="45"/>
      <x:c r="E187" s="45"/>
      <x:c r="F187" s="45"/>
    </x:row>
    <x:row r="188" ht="15" hidden="0" customHeight="1">
      <x:c r="A188" s="45"/>
      <x:c r="B188" s="45"/>
      <x:c r="C188" s="45"/>
      <x:c r="D188" s="45"/>
      <x:c r="E188" s="45"/>
      <x:c r="F188" s="45"/>
    </x:row>
    <x:row r="189" ht="15" hidden="0" customHeight="1">
      <x:c r="A189" s="45"/>
      <x:c r="B189" s="45"/>
      <x:c r="C189" s="45"/>
      <x:c r="D189" s="45"/>
      <x:c r="E189" s="45"/>
      <x:c r="F189" s="45"/>
    </x:row>
    <x:row r="190" ht="15" hidden="0" customHeight="1">
      <x:c r="A190" s="45"/>
      <x:c r="B190" s="45"/>
      <x:c r="C190" s="45"/>
      <x:c r="D190" s="45"/>
      <x:c r="E190" s="45"/>
      <x:c r="F190" s="45"/>
    </x:row>
    <x:row r="191" ht="15" hidden="0" customHeight="1">
      <x:c r="A191" s="45"/>
      <x:c r="B191" s="45"/>
      <x:c r="C191" s="45"/>
      <x:c r="D191" s="45"/>
      <x:c r="E191" s="45"/>
      <x:c r="F191" s="45"/>
    </x:row>
    <x:row r="192" ht="15" hidden="0" customHeight="1">
      <x:c r="A192" s="45"/>
      <x:c r="B192" s="45"/>
      <x:c r="C192" s="45"/>
      <x:c r="D192" s="45"/>
      <x:c r="E192" s="45"/>
      <x:c r="F192" s="45"/>
    </x:row>
    <x:row r="193" ht="15" hidden="0" customHeight="1">
      <x:c r="A193" s="45"/>
      <x:c r="B193" s="45"/>
      <x:c r="C193" s="45"/>
      <x:c r="D193" s="45"/>
      <x:c r="E193" s="45"/>
      <x:c r="F193" s="45"/>
    </x:row>
    <x:row r="194" ht="15" hidden="0" customHeight="1">
      <x:c r="A194" s="45"/>
      <x:c r="B194" s="45"/>
      <x:c r="C194" s="45"/>
      <x:c r="D194" s="45"/>
      <x:c r="E194" s="45"/>
      <x:c r="F194" s="45"/>
    </x:row>
    <x:row r="195" ht="15" hidden="0" customHeight="1">
      <x:c r="A195" s="45"/>
      <x:c r="B195" s="45"/>
      <x:c r="C195" s="45"/>
      <x:c r="D195" s="45"/>
      <x:c r="E195" s="45"/>
      <x:c r="F195" s="45"/>
    </x:row>
    <x:row r="196" ht="15" hidden="0" customHeight="1">
      <x:c r="A196" s="45"/>
      <x:c r="B196" s="45"/>
      <x:c r="C196" s="45"/>
      <x:c r="D196" s="45"/>
      <x:c r="E196" s="45"/>
      <x:c r="F196" s="45"/>
    </x:row>
    <x:row r="197" ht="15" hidden="0" customHeight="1">
      <x:c r="A197" s="45"/>
      <x:c r="B197" s="45"/>
      <x:c r="C197" s="45"/>
      <x:c r="D197" s="45"/>
      <x:c r="E197" s="45"/>
      <x:c r="F197" s="45"/>
    </x:row>
    <x:row r="198" ht="15" hidden="0" customHeight="1">
      <x:c r="A198" s="45"/>
      <x:c r="B198" s="45"/>
      <x:c r="C198" s="45"/>
      <x:c r="D198" s="45"/>
      <x:c r="E198" s="45"/>
      <x:c r="F198" s="45"/>
    </x:row>
    <x:row r="199" ht="15" hidden="0" customHeight="1">
      <x:c r="A199" s="45"/>
      <x:c r="B199" s="45"/>
      <x:c r="C199" s="45"/>
      <x:c r="D199" s="45"/>
      <x:c r="E199" s="45"/>
      <x:c r="F199" s="45"/>
    </x:row>
    <x:row r="200" ht="15" hidden="0" customHeight="1">
      <x:c r="A200" s="45"/>
      <x:c r="B200" s="45"/>
      <x:c r="C200" s="45"/>
      <x:c r="D200" s="45"/>
      <x:c r="E200" s="45"/>
      <x:c r="F200" s="45"/>
    </x:row>
  </x:sheetData>
  <x:pageMargins left="0.7" right="0.7" top="0.75" bottom="0.75" header="0.3" footer="0.3"/>
  <x:tableParts count="1">
    <x:tablePart xmlns:r="http://schemas.openxmlformats.org/officeDocument/2006/relationships" r:id="R4c0336954a6147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54" hidden="0" customWidth="1"/>
    <x:col min="4" max="4" width="58" hidden="0" customWidth="1"/>
    <x:col min="5" max="5" width="20" hidden="0" customWidth="1"/>
  </x:cols>
  <x:sheetData>
    <x:row r="1" ht="34" customHeight="1">
      <x:c r="A1" s="44" t="str">
        <x:v>נושא</x:v>
      </x:c>
      <x:c r="B1" s="44" t="str">
        <x:v>מקור</x:v>
      </x:c>
      <x:c r="C1" s="44" t="str">
        <x:v>עיקרון למנוע</x:v>
      </x:c>
      <x:c r="D1" s="44" t="str">
        <x:v>URL</x:v>
      </x:c>
      <x:c r="E1" s="44" t="str">
        <x:v>סטטוס/עדכון</x:v>
      </x:c>
    </x:row>
    <x:row r="2" ht="26.399999618530273" hidden="0" customHeight="1">
      <x:c r="A2" s="48" t="str">
        <x:v>הודעה לעובד – הסכם כתחליף</x:v>
      </x:c>
      <x:c r="B2" s="48" t="str">
        <x:v>חוק הודעה לעובד (תנאי עבודה), סעיף 2(ד)</x:v>
      </x:c>
      <x:c r="C2" s="48" t="str">
        <x:v>הסכם בכתב הכולל את מלוא העניינים הנדרשים עשוי למלא את חובת מסירת ההודעה.</x:v>
      </x:c>
      <x:c r="D2" s="48" t="str">
        <x:v>https://fs.knesset.gov.il/%5C18%5Claw%5C18_lsr_301205.pdf</x:v>
      </x:c>
      <x:c r="E2" s="48" t="str">
        <x:v>יציב</x:v>
      </x:c>
    </x:row>
    <x:row r="3" ht="39.599998474121094" hidden="0" customHeight="1">
      <x:c r="A3" s="48" t="str">
        <x:v>טופס לדוגמה – הודעה לעובד</x:v>
      </x:c>
      <x:c r="B3" s="48" t="str">
        <x:v>משרד העבודה</x:v>
      </x:c>
      <x:c r="C3" s="48" t="str">
        <x:v>משמש רשימת עזר לפרטי תנאי העבודה שנמסרים לעובד.</x:v>
      </x:c>
      <x:c r="D3" s="48" t="str">
        <x:v>https://www.gov.il/BlobFolder/generalpage/work-rights-working-conditions-notification/he/workers-rights_admission-to-work_work-rights-working-conditions-notification_Hodaa-Pirot.pdf</x:v>
      </x:c>
      <x:c r="E3" s="48" t="str">
        <x:v>יציב</x:v>
      </x:c>
    </x:row>
    <x:row r="4" ht="26.399999618530273" hidden="0" customHeight="1">
      <x:c r="A4" s="48" t="str">
        <x:v>פרילנסרים – מבחני עובד/מעסיק</x:v>
      </x:c>
      <x:c r="B4" s="48" t="str">
        <x:v>בית הדין הארצי לעבודה</x:v>
      </x:c>
      <x:c r="C4" s="48" t="str">
        <x:v>המעמד נקבע לפי נסיבות ומהות הקשר, במרכזן מבחן ההשתלבות ומבחני עזר.</x:v>
      </x:c>
      <x:c r="D4" s="48" t="str">
        <x:v>https://www.gov.il/BlobFolder/legalinfo/judgment_sheltered_employment/he/haim_zer_judgment.pdf</x:v>
      </x:c>
      <x:c r="E4" s="48" t="str">
        <x:v>פסיקה מנחה</x:v>
      </x:c>
    </x:row>
    <x:row r="5" ht="39.599998474121094" hidden="0" customHeight="1">
      <x:c r="A5" s="48" t="str">
        <x:v>סעיף 14</x:v>
      </x:c>
      <x:c r="B5" s="48" t="str">
        <x:v>אישור כללי מכוח סעיף 14 לחוק פיצויי פיטורים</x:v>
      </x:c>
      <x:c r="C5" s="48" t="str">
        <x:v>יש לבחון את ההסדרה בפועל ולא להסתפק באמירה 'יש סעיף 14'.</x:v>
      </x:c>
      <x:c r="D5" s="48" t="str">
        <x:v>https://www.gov.il/BlobFolder/guide/provisions-for-severance-pay/en/workers-rights_dismissal-and-termination-of-work_provisions-for-severance-pay_procedures_insurance-fund-instead-of-severance-pay.pdf</x:v>
      </x:c>
      <x:c r="E5" s="48" t="str">
        <x:v>יציב</x:v>
      </x:c>
    </x:row>
    <x:row r="6" ht="26.399999618530273" hidden="0" customHeight="1">
      <x:c r="A6" s="48" t="str">
        <x:v>תיקון 13 – מידע אישי</x:v>
      </x:c>
      <x:c r="B6" s="48" t="str">
        <x:v>הרשות להגנת הפרטיות</x:v>
      </x:c>
      <x:c r="C6" s="48" t="str">
        <x:v>מאז 14.8.2025 ההגדרה רחבה: נתון הנוגע לאדם מזוהה או ניתן לזיהוי; נקבעה גם קטגוריית מידע בעל רגישות מיוחדת.</x:v>
      </x:c>
      <x:c r="D6" s="48" t="str">
        <x:v>https://www.gov.il/he/pages/tikun13_qa?chapterIndex=6</x:v>
      </x:c>
      <x:c r="E6" s="48" t="str">
        <x:v>עודכן 18.08.2025</x:v>
      </x:c>
    </x:row>
    <x:row r="7" ht="15" hidden="0" customHeight="1">
      <x:c r="A7" s="48" t="str">
        <x:v>תיקון 13 – DPO</x:v>
      </x:c>
      <x:c r="B7" s="48" t="str">
        <x:v>הרשות להגנת הפרטיות</x:v>
      </x:c>
      <x:c r="C7" s="48" t="str">
        <x:v>גילוי דעת סופי ועדכני לגבי היקף החובה ומעמד ממונה הגנת פרטיות.</x:v>
      </x:c>
      <x:c r="D7" s="48" t="str">
        <x:v>https://www.gov.il/he/pages/amendment-13-26-07-26</x:v>
      </x:c>
      <x:c r="E7" s="48" t="str">
        <x:v>פורסם 26.07.2026</x:v>
      </x:c>
    </x:row>
    <x:row r="8" ht="26.399999618530273" hidden="0" customHeight="1">
      <x:c r="A8" s="48" t="str">
        <x:v>מצלמות במקום העבודה</x:v>
      </x:c>
      <x:c r="B8" s="48" t="str">
        <x:v>הרשות להגנת הפרטיות – הנחיה 5/2017</x:v>
      </x:c>
      <x:c r="C8" s="48" t="str">
        <x:v>נדרשת בחינת מטרה, נחיצות, מידתיות, שקיפות ומיקום; הזכות לפרטיות קיימת גם במקום העבודה.</x:v>
      </x:c>
      <x:c r="D8" s="48" t="str">
        <x:v>https://www.gov.il/blobfolder/policy/workplace_camera/he/3-17_0.pdf</x:v>
      </x:c>
      <x:c r="E8" s="48" t="str">
        <x:v>הנחיה ייעודית</x:v>
      </x:c>
    </x:row>
    <x:row r="9" ht="26.399999618530273" hidden="0" customHeight="1">
      <x:c r="A9" s="48" t="str">
        <x:v>ביומטריה לנוכחות</x:v>
      </x:c>
      <x:c r="B9" s="48" t="str">
        <x:v>הרשות להגנת הפרטיות</x:v>
      </x:c>
      <x:c r="C9" s="48" t="str">
        <x:v>שימוש באמצעי ביומטרי מחייב בחינת אינטרס לגיטימי וחלופות פחות פוגעניות.</x:v>
      </x:c>
      <x:c r="D9" s="48" t="str">
        <x:v>https://www.gov.il/BlobFolder/policy/biometric_workplace/he/BiometriWorkplace.pdf</x:v>
      </x:c>
      <x:c r="E9" s="48" t="str">
        <x:v>פורסם 2026</x:v>
      </x:c>
    </x:row>
    <x:row r="10" ht="15" hidden="0" customHeight="1">
      <x:c r="A10" s="48" t="str">
        <x:v>רישום מאגרים לאחר תיקון 13</x:v>
      </x:c>
      <x:c r="B10" s="48" t="str">
        <x:v>הרשות להגנת הפרטיות</x:v>
      </x:c>
      <x:c r="C10" s="48" t="str">
        <x:v>חובת הרישום הכללית צומצמה ונותרה לגבי מאגרים מסוגים מסוימים.</x:v>
      </x:c>
      <x:c r="D10" s="48" t="str">
        <x:v>https://www.gov.il/he/service/registration_in_the_database</x:v>
      </x:c>
      <x:c r="E10" s="48" t="str">
        <x:v>נבדק 2026</x:v>
      </x:c>
    </x:row>
    <x:row r="11" ht="26.399999618530273" hidden="0" customHeight="1">
      <x:c r="A11" s="48" t="str">
        <x:v>חובת הודעה לרשות</x:v>
      </x:c>
      <x:c r="B11" s="48" t="str">
        <x:v>הרשות להגנת הפרטיות</x:v>
      </x:c>
      <x:c r="C11" s="48" t="str">
        <x:v>מאגר עם מידע בעל רגישות מיוחדת על יותר מ-100,000 נושאי מידע עשוי לחייב הודעה לרשות.</x:v>
      </x:c>
      <x:c r="D11" s="48" t="str">
        <x:v>https://www.gov.il/he/service/notice-obligation</x:v>
      </x:c>
      <x:c r="E11" s="48" t="str">
        <x:v>נבדק 2026</x:v>
      </x:c>
    </x:row>
    <x:row r="12" ht="15" hidden="0" customHeight="1">
      <x:c r="A12" s="48" t="str">
        <x:v>הטרדה מינית – מעל 25 עובדים</x:v>
      </x:c>
      <x:c r="B12" s="48" t="str">
        <x:v>הכנסת / תקנות חובות מעסיק</x:v>
      </x:c>
      <x:c r="C12" s="48" t="str">
        <x:v>מעסיק מעל 25 עובדים מחויב בתקנון מותאם ומפורסם.</x:v>
      </x:c>
      <x:c r="D12" s="48" t="str">
        <x:v>https://main.knesset.gov.il/News/PressReleases/pages/press01.05.18d.aspx</x:v>
      </x:c>
      <x:c r="E12" s="48" t="str">
        <x:v>יציב</x:v>
      </x:c>
    </x:row>
    <x:row r="13" ht="15" hidden="0" customHeight="1">
      <x:c r="A13" s="45" t="str">
        <x:v>תיקון 13 – מדריך מקצועי</x:v>
      </x:c>
      <x:c r="B13" s="45" t="str">
        <x:v>הרשות להגנת הפרטיות</x:v>
      </x:c>
      <x:c r="C13" s="45" t="str">
        <x:v>מדריך מקצועי לתיקון 13, הגדרות, אחריותיות ואכיפה.</x:v>
      </x:c>
      <x:c r="D13" s="45" t="str">
        <x:v>https://www.gov.il/BlobFolder/reports/guide_tikon13_professional/he/tikun%2013%20_170825.pdf</x:v>
      </x:c>
      <x:c r="E13" s="45" t="str">
        <x:v>2025–2026</x:v>
      </x:c>
    </x:row>
    <x:row r="14">
      <x:c r="A14" s="33" t="str">
        <x:v>DPO – גילוי דעת סופי 2026</x:v>
      </x:c>
      <x:c r="B14" s="45" t="str">
        <x:v>הרשות להגנת הפרטיות</x:v>
      </x:c>
      <x:c r="C14" s="45" t="str">
        <x:v>היקף חובת מינוי ממונה, תפקידיו ומעמדו לאחר תיקון 13.</x:v>
      </x:c>
      <x:c r="D14" s="45" t="str">
        <x:v>https://www.gov.il/he/pages/amendment-13-26-07-26</x:v>
      </x:c>
      <x:c r="E14" s="45" t="str">
        <x:v>27.07.2026</x:v>
      </x:c>
    </x:row>
    <x:row r="15">
      <x:c r="A15" s="45" t="str">
        <x:v>חובת הודעה על מאגר</x:v>
      </x:c>
      <x:c r="B15" s="45" t="str">
        <x:v>הרשות להגנת הפרטיות</x:v>
      </x:c>
      <x:c r="C15" s="45" t="str">
        <x:v>מידע בעל רגישות מיוחדת על יותר מ-100,000 נושאי מידע עשוי להפעיל חובת הודעה.</x:v>
      </x:c>
      <x:c r="D15" s="45" t="str">
        <x:v>https://www.gov.il/he/service/notice-obligation</x:v>
      </x:c>
      <x:c r="E15" s="45" t="str">
        <x:v>נבדק 30.08.2026</x:v>
      </x:c>
    </x:row>
    <x:row r="16" ht="15" hidden="0" customHeight="1">
      <x:c r="A16" s="45" t="str">
        <x:v>כלי הערכת פרטיות</x:v>
      </x:c>
      <x:c r="B16" s="45" t="str">
        <x:v>הרשות להגנת הפרטיות</x:v>
      </x:c>
      <x:c r="C16" s="45" t="str">
        <x:v>כלי דיגיטלי הכולל בדיקות מצלמות, ניטור, DPO וזכויות מידע.</x:v>
      </x:c>
      <x:c r="D16" s="45" t="str">
        <x:v>https://mojforms.justice.gov.il/mojaemprivacyprotectionauthority/dpiaform.html</x:v>
      </x:c>
      <x:c r="E16" s="45" t="str">
        <x:v>נבדק 30.08.2026</x:v>
      </x:c>
    </x:row>
    <x:row r="17" ht="15" hidden="0" customHeight="1">
      <x:c r="A17" s="45"/>
      <x:c r="B17" s="45"/>
      <x:c r="C17" s="45"/>
      <x:c r="D17" s="45"/>
      <x:c r="E17" s="45"/>
    </x:row>
    <x:row r="18" ht="15" hidden="0" customHeight="1">
      <x:c r="A18" s="45"/>
      <x:c r="B18" s="45"/>
      <x:c r="C18" s="45"/>
      <x:c r="D18" s="45"/>
      <x:c r="E18" s="45"/>
    </x:row>
    <x:row r="19" ht="15" hidden="0" customHeight="1">
      <x:c r="A19" s="45"/>
      <x:c r="B19" s="45"/>
      <x:c r="C19" s="45"/>
      <x:c r="D19" s="45"/>
      <x:c r="E19" s="45"/>
    </x:row>
    <x:row r="20" ht="15" hidden="0" customHeight="1">
      <x:c r="A20" s="45"/>
      <x:c r="B20" s="45"/>
      <x:c r="C20" s="45"/>
      <x:c r="D20" s="45"/>
      <x:c r="E20" s="45"/>
    </x:row>
    <x:row r="21" ht="15" hidden="0" customHeight="1">
      <x:c r="A21" s="45"/>
      <x:c r="B21" s="45"/>
      <x:c r="C21" s="45"/>
      <x:c r="D21" s="45"/>
      <x:c r="E21" s="45"/>
    </x:row>
    <x:row r="22" ht="15" hidden="0" customHeight="1">
      <x:c r="A22" s="45"/>
      <x:c r="B22" s="45"/>
      <x:c r="C22" s="45"/>
      <x:c r="D22" s="45"/>
      <x:c r="E22" s="45"/>
    </x:row>
    <x:row r="23" ht="15" hidden="0" customHeight="1">
      <x:c r="A23" s="45"/>
      <x:c r="B23" s="45"/>
      <x:c r="C23" s="45"/>
      <x:c r="D23" s="45"/>
      <x:c r="E23" s="45"/>
    </x:row>
    <x:row r="24" ht="15" hidden="0" customHeight="1">
      <x:c r="A24" s="45"/>
      <x:c r="B24" s="45"/>
      <x:c r="C24" s="45"/>
      <x:c r="D24" s="45"/>
      <x:c r="E24" s="45"/>
    </x:row>
    <x:row r="25" ht="15" hidden="0" customHeight="1">
      <x:c r="A25" s="45"/>
      <x:c r="B25" s="45"/>
      <x:c r="C25" s="45"/>
      <x:c r="D25" s="45"/>
      <x:c r="E25" s="45"/>
    </x:row>
    <x:row r="26" ht="15" hidden="0" customHeight="1">
      <x:c r="A26" s="45"/>
      <x:c r="B26" s="45"/>
      <x:c r="C26" s="45"/>
      <x:c r="D26" s="45"/>
      <x:c r="E26" s="45"/>
    </x:row>
    <x:row r="27" ht="15" hidden="0" customHeight="1">
      <x:c r="A27" s="45"/>
      <x:c r="B27" s="45"/>
      <x:c r="C27" s="45"/>
      <x:c r="D27" s="45"/>
      <x:c r="E27" s="45"/>
    </x:row>
    <x:row r="28" ht="15" hidden="0" customHeight="1">
      <x:c r="A28" s="45"/>
      <x:c r="B28" s="45"/>
      <x:c r="C28" s="45"/>
      <x:c r="D28" s="45"/>
      <x:c r="E28" s="45"/>
    </x:row>
    <x:row r="29" ht="15" hidden="0" customHeight="1">
      <x:c r="A29" s="45"/>
      <x:c r="B29" s="45"/>
      <x:c r="C29" s="45"/>
      <x:c r="D29" s="45"/>
      <x:c r="E29" s="45"/>
    </x:row>
    <x:row r="30" ht="15" hidden="0" customHeight="1">
      <x:c r="A30" s="45"/>
      <x:c r="B30" s="45"/>
      <x:c r="C30" s="45"/>
      <x:c r="D30" s="45"/>
      <x:c r="E30" s="45"/>
    </x:row>
    <x:row r="31" ht="15" hidden="0" customHeight="1">
      <x:c r="A31" s="45"/>
      <x:c r="B31" s="45"/>
      <x:c r="C31" s="45"/>
      <x:c r="D31" s="45"/>
      <x:c r="E31" s="45"/>
    </x:row>
    <x:row r="32" ht="15" hidden="0" customHeight="1">
      <x:c r="A32" s="45"/>
      <x:c r="B32" s="45"/>
      <x:c r="C32" s="45"/>
      <x:c r="D32" s="45"/>
      <x:c r="E32" s="45"/>
    </x:row>
    <x:row r="33" ht="15" hidden="0" customHeight="1">
      <x:c r="A33" s="45"/>
      <x:c r="B33" s="45"/>
      <x:c r="C33" s="45"/>
      <x:c r="D33" s="45"/>
      <x:c r="E33" s="45"/>
    </x:row>
    <x:row r="34" ht="15" hidden="0" customHeight="1">
      <x:c r="A34" s="45"/>
      <x:c r="B34" s="45"/>
      <x:c r="C34" s="45"/>
      <x:c r="D34" s="45"/>
      <x:c r="E34" s="45"/>
    </x:row>
    <x:row r="35" ht="15" hidden="0" customHeight="1">
      <x:c r="A35" s="45"/>
      <x:c r="B35" s="45"/>
      <x:c r="C35" s="45"/>
      <x:c r="D35" s="45"/>
      <x:c r="E35" s="45"/>
    </x:row>
    <x:row r="36" ht="15" hidden="0" customHeight="1">
      <x:c r="A36" s="45"/>
      <x:c r="B36" s="45"/>
      <x:c r="C36" s="45"/>
      <x:c r="D36" s="45"/>
      <x:c r="E36" s="45"/>
    </x:row>
    <x:row r="37" ht="15" hidden="0" customHeight="1">
      <x:c r="A37" s="45"/>
      <x:c r="B37" s="45"/>
      <x:c r="C37" s="45"/>
      <x:c r="D37" s="45"/>
      <x:c r="E37" s="45"/>
    </x:row>
    <x:row r="38" ht="15" hidden="0" customHeight="1">
      <x:c r="A38" s="45"/>
      <x:c r="B38" s="45"/>
      <x:c r="C38" s="45"/>
      <x:c r="D38" s="45"/>
      <x:c r="E38" s="45"/>
    </x:row>
    <x:row r="39" ht="15" hidden="0" customHeight="1">
      <x:c r="A39" s="45"/>
      <x:c r="B39" s="45"/>
      <x:c r="C39" s="45"/>
      <x:c r="D39" s="45"/>
      <x:c r="E39" s="45"/>
    </x:row>
    <x:row r="40" ht="15" hidden="0" customHeight="1">
      <x:c r="A40" s="45"/>
      <x:c r="B40" s="45"/>
      <x:c r="C40" s="45"/>
      <x:c r="D40" s="45"/>
      <x:c r="E40" s="45"/>
    </x:row>
    <x:row r="41" ht="15" hidden="0" customHeight="1">
      <x:c r="A41" s="45"/>
      <x:c r="B41" s="45"/>
      <x:c r="C41" s="45"/>
      <x:c r="D41" s="45"/>
      <x:c r="E41" s="45"/>
    </x:row>
    <x:row r="42" ht="15" hidden="0" customHeight="1">
      <x:c r="A42" s="45"/>
      <x:c r="B42" s="45"/>
      <x:c r="C42" s="45"/>
      <x:c r="D42" s="45"/>
      <x:c r="E42" s="45"/>
    </x:row>
    <x:row r="43" ht="15" hidden="0" customHeight="1">
      <x:c r="A43" s="45"/>
      <x:c r="B43" s="45"/>
      <x:c r="C43" s="45"/>
      <x:c r="D43" s="45"/>
      <x:c r="E43" s="45"/>
    </x:row>
    <x:row r="44" ht="15" hidden="0" customHeight="1">
      <x:c r="A44" s="45"/>
      <x:c r="B44" s="45"/>
      <x:c r="C44" s="45"/>
      <x:c r="D44" s="45"/>
      <x:c r="E44" s="45"/>
    </x:row>
    <x:row r="45" ht="15" hidden="0" customHeight="1">
      <x:c r="A45" s="45"/>
      <x:c r="B45" s="45"/>
      <x:c r="C45" s="45"/>
      <x:c r="D45" s="45"/>
      <x:c r="E45" s="45"/>
    </x:row>
    <x:row r="46" ht="15" hidden="0" customHeight="1">
      <x:c r="A46" s="45"/>
      <x:c r="B46" s="45"/>
      <x:c r="C46" s="45"/>
      <x:c r="D46" s="45"/>
      <x:c r="E46" s="45"/>
    </x:row>
    <x:row r="47" ht="15" hidden="0" customHeight="1">
      <x:c r="A47" s="45"/>
      <x:c r="B47" s="45"/>
      <x:c r="C47" s="45"/>
      <x:c r="D47" s="45"/>
      <x:c r="E47" s="45"/>
    </x:row>
    <x:row r="48" ht="15" hidden="0" customHeight="1">
      <x:c r="A48" s="45"/>
      <x:c r="B48" s="45"/>
      <x:c r="C48" s="45"/>
      <x:c r="D48" s="45"/>
      <x:c r="E48" s="45"/>
    </x:row>
    <x:row r="49" ht="15" hidden="0" customHeight="1">
      <x:c r="A49" s="45"/>
      <x:c r="B49" s="45"/>
      <x:c r="C49" s="45"/>
      <x:c r="D49" s="45"/>
      <x:c r="E49" s="45"/>
    </x:row>
    <x:row r="50" ht="15" hidden="0" customHeight="1">
      <x:c r="A50" s="45"/>
      <x:c r="B50" s="45"/>
      <x:c r="C50" s="45"/>
      <x:c r="D50" s="45"/>
      <x:c r="E50" s="45"/>
    </x:row>
    <x:row r="51" ht="15" hidden="0" customHeight="1">
      <x:c r="A51" s="45"/>
      <x:c r="B51" s="45"/>
      <x:c r="C51" s="45"/>
      <x:c r="D51" s="45"/>
      <x:c r="E51" s="45"/>
    </x:row>
    <x:row r="52" ht="15" hidden="0" customHeight="1">
      <x:c r="A52" s="45"/>
      <x:c r="B52" s="45"/>
      <x:c r="C52" s="45"/>
      <x:c r="D52" s="45"/>
      <x:c r="E52" s="45"/>
    </x:row>
    <x:row r="53" ht="15" hidden="0" customHeight="1">
      <x:c r="A53" s="45"/>
      <x:c r="B53" s="45"/>
      <x:c r="C53" s="45"/>
      <x:c r="D53" s="45"/>
      <x:c r="E53" s="45"/>
    </x:row>
    <x:row r="54" ht="15" hidden="0" customHeight="1">
      <x:c r="A54" s="45"/>
      <x:c r="B54" s="45"/>
      <x:c r="C54" s="45"/>
      <x:c r="D54" s="45"/>
      <x:c r="E54" s="45"/>
    </x:row>
    <x:row r="55" ht="15" hidden="0" customHeight="1">
      <x:c r="A55" s="45"/>
      <x:c r="B55" s="45"/>
      <x:c r="C55" s="45"/>
      <x:c r="D55" s="45"/>
      <x:c r="E55" s="45"/>
    </x:row>
    <x:row r="56" ht="15" hidden="0" customHeight="1">
      <x:c r="A56" s="45"/>
      <x:c r="B56" s="45"/>
      <x:c r="C56" s="45"/>
      <x:c r="D56" s="45"/>
      <x:c r="E56" s="45"/>
    </x:row>
    <x:row r="57" ht="15" hidden="0" customHeight="1">
      <x:c r="A57" s="45"/>
      <x:c r="B57" s="45"/>
      <x:c r="C57" s="45"/>
      <x:c r="D57" s="45"/>
      <x:c r="E57" s="45"/>
    </x:row>
    <x:row r="58" ht="15" hidden="0" customHeight="1">
      <x:c r="A58" s="45"/>
      <x:c r="B58" s="45"/>
      <x:c r="C58" s="45"/>
      <x:c r="D58" s="45"/>
      <x:c r="E58" s="45"/>
    </x:row>
    <x:row r="59" ht="15" hidden="0" customHeight="1">
      <x:c r="A59" s="45"/>
      <x:c r="B59" s="45"/>
      <x:c r="C59" s="45"/>
      <x:c r="D59" s="45"/>
      <x:c r="E59" s="45"/>
    </x:row>
    <x:row r="60" ht="15" hidden="0" customHeight="1">
      <x:c r="A60" s="45"/>
      <x:c r="B60" s="45"/>
      <x:c r="C60" s="45"/>
      <x:c r="D60" s="45"/>
      <x:c r="E60" s="45"/>
    </x:row>
    <x:row r="61" ht="15" hidden="0" customHeight="1">
      <x:c r="A61" s="45"/>
      <x:c r="B61" s="45"/>
      <x:c r="C61" s="45"/>
      <x:c r="D61" s="45"/>
      <x:c r="E61" s="45"/>
    </x:row>
    <x:row r="62" ht="15" hidden="0" customHeight="1">
      <x:c r="A62" s="45"/>
      <x:c r="B62" s="45"/>
      <x:c r="C62" s="45"/>
      <x:c r="D62" s="45"/>
      <x:c r="E62" s="45"/>
    </x:row>
    <x:row r="63" ht="15" hidden="0" customHeight="1">
      <x:c r="A63" s="45"/>
      <x:c r="B63" s="45"/>
      <x:c r="C63" s="45"/>
      <x:c r="D63" s="45"/>
      <x:c r="E63" s="45"/>
    </x:row>
    <x:row r="64" ht="15" hidden="0" customHeight="1">
      <x:c r="A64" s="45"/>
      <x:c r="B64" s="45"/>
      <x:c r="C64" s="45"/>
      <x:c r="D64" s="45"/>
      <x:c r="E64" s="45"/>
    </x:row>
    <x:row r="65" ht="15" hidden="0" customHeight="1">
      <x:c r="A65" s="45"/>
      <x:c r="B65" s="45"/>
      <x:c r="C65" s="45"/>
      <x:c r="D65" s="45"/>
      <x:c r="E65" s="45"/>
    </x:row>
    <x:row r="66" ht="15" hidden="0" customHeight="1">
      <x:c r="A66" s="45"/>
      <x:c r="B66" s="45"/>
      <x:c r="C66" s="45"/>
      <x:c r="D66" s="45"/>
      <x:c r="E66" s="45"/>
    </x:row>
    <x:row r="67" ht="15" hidden="0" customHeight="1">
      <x:c r="A67" s="45"/>
      <x:c r="B67" s="45"/>
      <x:c r="C67" s="45"/>
      <x:c r="D67" s="45"/>
      <x:c r="E67" s="45"/>
    </x:row>
    <x:row r="68" ht="15" hidden="0" customHeight="1">
      <x:c r="A68" s="45"/>
      <x:c r="B68" s="45"/>
      <x:c r="C68" s="45"/>
      <x:c r="D68" s="45"/>
      <x:c r="E68" s="45"/>
    </x:row>
    <x:row r="69" ht="15" hidden="0" customHeight="1">
      <x:c r="A69" s="45"/>
      <x:c r="B69" s="45"/>
      <x:c r="C69" s="45"/>
      <x:c r="D69" s="45"/>
      <x:c r="E69" s="45"/>
    </x:row>
    <x:row r="70" ht="15" hidden="0" customHeight="1">
      <x:c r="A70" s="45"/>
      <x:c r="B70" s="45"/>
      <x:c r="C70" s="45"/>
      <x:c r="D70" s="45"/>
      <x:c r="E70" s="45"/>
    </x:row>
    <x:row r="71" ht="15" hidden="0" customHeight="1">
      <x:c r="A71" s="45"/>
      <x:c r="B71" s="45"/>
      <x:c r="C71" s="45"/>
      <x:c r="D71" s="45"/>
      <x:c r="E71" s="45"/>
    </x:row>
    <x:row r="72" ht="15" hidden="0" customHeight="1">
      <x:c r="A72" s="45"/>
      <x:c r="B72" s="45"/>
      <x:c r="C72" s="45"/>
      <x:c r="D72" s="45"/>
      <x:c r="E72" s="45"/>
    </x:row>
    <x:row r="73" ht="15" hidden="0" customHeight="1">
      <x:c r="A73" s="45"/>
      <x:c r="B73" s="45"/>
      <x:c r="C73" s="45"/>
      <x:c r="D73" s="45"/>
      <x:c r="E73" s="45"/>
    </x:row>
    <x:row r="74" ht="15" hidden="0" customHeight="1">
      <x:c r="A74" s="45"/>
      <x:c r="B74" s="45"/>
      <x:c r="C74" s="45"/>
      <x:c r="D74" s="45"/>
      <x:c r="E74" s="45"/>
    </x:row>
    <x:row r="75" ht="15" hidden="0" customHeight="1">
      <x:c r="A75" s="45"/>
      <x:c r="B75" s="45"/>
      <x:c r="C75" s="45"/>
      <x:c r="D75" s="45"/>
      <x:c r="E75" s="45"/>
    </x:row>
    <x:row r="76" ht="15" hidden="0" customHeight="1">
      <x:c r="A76" s="45"/>
      <x:c r="B76" s="45"/>
      <x:c r="C76" s="45"/>
      <x:c r="D76" s="45"/>
      <x:c r="E76" s="45"/>
    </x:row>
    <x:row r="77" ht="15" hidden="0" customHeight="1">
      <x:c r="A77" s="45"/>
      <x:c r="B77" s="45"/>
      <x:c r="C77" s="45"/>
      <x:c r="D77" s="45"/>
      <x:c r="E77" s="45"/>
    </x:row>
    <x:row r="78" ht="15" hidden="0" customHeight="1">
      <x:c r="A78" s="45"/>
      <x:c r="B78" s="45"/>
      <x:c r="C78" s="45"/>
      <x:c r="D78" s="45"/>
      <x:c r="E78" s="45"/>
    </x:row>
    <x:row r="79" ht="15" hidden="0" customHeight="1">
      <x:c r="A79" s="45"/>
      <x:c r="B79" s="45"/>
      <x:c r="C79" s="45"/>
      <x:c r="D79" s="45"/>
      <x:c r="E79" s="45"/>
    </x:row>
    <x:row r="80" ht="15" hidden="0" customHeight="1">
      <x:c r="A80" s="45"/>
      <x:c r="B80" s="45"/>
      <x:c r="C80" s="45"/>
      <x:c r="D80" s="45"/>
      <x:c r="E80" s="45"/>
    </x:row>
    <x:row r="81" ht="15" hidden="0" customHeight="1">
      <x:c r="A81" s="45"/>
      <x:c r="B81" s="45"/>
      <x:c r="C81" s="45"/>
      <x:c r="D81" s="45"/>
      <x:c r="E81" s="45"/>
    </x:row>
    <x:row r="82" ht="15" hidden="0" customHeight="1">
      <x:c r="A82" s="45"/>
      <x:c r="B82" s="45"/>
      <x:c r="C82" s="45"/>
      <x:c r="D82" s="45"/>
      <x:c r="E82" s="45"/>
    </x:row>
    <x:row r="83" ht="15" hidden="0" customHeight="1">
      <x:c r="A83" s="45"/>
      <x:c r="B83" s="45"/>
      <x:c r="C83" s="45"/>
      <x:c r="D83" s="45"/>
      <x:c r="E83" s="45"/>
    </x:row>
    <x:row r="84" ht="15" hidden="0" customHeight="1">
      <x:c r="A84" s="45"/>
      <x:c r="B84" s="45"/>
      <x:c r="C84" s="45"/>
      <x:c r="D84" s="45"/>
      <x:c r="E84" s="45"/>
    </x:row>
    <x:row r="85" ht="15" hidden="0" customHeight="1">
      <x:c r="A85" s="45"/>
      <x:c r="B85" s="45"/>
      <x:c r="C85" s="45"/>
      <x:c r="D85" s="45"/>
      <x:c r="E85" s="45"/>
    </x:row>
    <x:row r="86" ht="15" hidden="0" customHeight="1">
      <x:c r="A86" s="45"/>
      <x:c r="B86" s="45"/>
      <x:c r="C86" s="45"/>
      <x:c r="D86" s="45"/>
      <x:c r="E86" s="45"/>
    </x:row>
    <x:row r="87" ht="15" hidden="0" customHeight="1">
      <x:c r="A87" s="45"/>
      <x:c r="B87" s="45"/>
      <x:c r="C87" s="45"/>
      <x:c r="D87" s="45"/>
      <x:c r="E87" s="45"/>
    </x:row>
    <x:row r="88" ht="15" hidden="0" customHeight="1">
      <x:c r="A88" s="45"/>
      <x:c r="B88" s="45"/>
      <x:c r="C88" s="45"/>
      <x:c r="D88" s="45"/>
      <x:c r="E88" s="45"/>
    </x:row>
    <x:row r="89" ht="15" hidden="0" customHeight="1">
      <x:c r="A89" s="45"/>
      <x:c r="B89" s="45"/>
      <x:c r="C89" s="45"/>
      <x:c r="D89" s="45"/>
      <x:c r="E89" s="45"/>
    </x:row>
    <x:row r="90" ht="15" hidden="0" customHeight="1">
      <x:c r="A90" s="45"/>
      <x:c r="B90" s="45"/>
      <x:c r="C90" s="45"/>
      <x:c r="D90" s="45"/>
      <x:c r="E90" s="45"/>
    </x:row>
    <x:row r="91" ht="15" hidden="0" customHeight="1">
      <x:c r="A91" s="45"/>
      <x:c r="B91" s="45"/>
      <x:c r="C91" s="45"/>
      <x:c r="D91" s="45"/>
      <x:c r="E91" s="45"/>
    </x:row>
    <x:row r="92" ht="15" hidden="0" customHeight="1">
      <x:c r="A92" s="45"/>
      <x:c r="B92" s="45"/>
      <x:c r="C92" s="45"/>
      <x:c r="D92" s="45"/>
      <x:c r="E92" s="45"/>
    </x:row>
    <x:row r="93" ht="15" hidden="0" customHeight="1">
      <x:c r="A93" s="45"/>
      <x:c r="B93" s="45"/>
      <x:c r="C93" s="45"/>
      <x:c r="D93" s="45"/>
      <x:c r="E93" s="45"/>
    </x:row>
    <x:row r="94" ht="15" hidden="0" customHeight="1">
      <x:c r="A94" s="45"/>
      <x:c r="B94" s="45"/>
      <x:c r="C94" s="45"/>
      <x:c r="D94" s="45"/>
      <x:c r="E94" s="45"/>
    </x:row>
    <x:row r="95" ht="15" hidden="0" customHeight="1">
      <x:c r="A95" s="45"/>
      <x:c r="B95" s="45"/>
      <x:c r="C95" s="45"/>
      <x:c r="D95" s="45"/>
      <x:c r="E95" s="45"/>
    </x:row>
    <x:row r="96" ht="15" hidden="0" customHeight="1">
      <x:c r="A96" s="45"/>
      <x:c r="B96" s="45"/>
      <x:c r="C96" s="45"/>
      <x:c r="D96" s="45"/>
      <x:c r="E96" s="45"/>
    </x:row>
    <x:row r="97" ht="15" hidden="0" customHeight="1">
      <x:c r="A97" s="45"/>
      <x:c r="B97" s="45"/>
      <x:c r="C97" s="45"/>
      <x:c r="D97" s="45"/>
      <x:c r="E97" s="45"/>
    </x:row>
    <x:row r="98" ht="15" hidden="0" customHeight="1">
      <x:c r="A98" s="45"/>
      <x:c r="B98" s="45"/>
      <x:c r="C98" s="45"/>
      <x:c r="D98" s="45"/>
      <x:c r="E98" s="45"/>
    </x:row>
    <x:row r="99" ht="15" hidden="0" customHeight="1">
      <x:c r="A99" s="45"/>
      <x:c r="B99" s="45"/>
      <x:c r="C99" s="45"/>
      <x:c r="D99" s="45"/>
      <x:c r="E99" s="45"/>
    </x:row>
    <x:row r="100" ht="15" hidden="0" customHeight="1">
      <x:c r="A100" s="45"/>
      <x:c r="B100" s="45"/>
      <x:c r="C100" s="45"/>
      <x:c r="D100" s="45"/>
      <x:c r="E100" s="45"/>
    </x:row>
    <x:row r="101" ht="15" hidden="0" customHeight="1">
      <x:c r="A101" s="45"/>
      <x:c r="B101" s="45"/>
      <x:c r="C101" s="45"/>
      <x:c r="D101" s="45"/>
      <x:c r="E101" s="45"/>
    </x:row>
    <x:row r="102" ht="15" hidden="0" customHeight="1">
      <x:c r="A102" s="45"/>
      <x:c r="B102" s="45"/>
      <x:c r="C102" s="45"/>
      <x:c r="D102" s="45"/>
      <x:c r="E102" s="45"/>
    </x:row>
    <x:row r="103" ht="15" hidden="0" customHeight="1">
      <x:c r="A103" s="45"/>
      <x:c r="B103" s="45"/>
      <x:c r="C103" s="45"/>
      <x:c r="D103" s="45"/>
      <x:c r="E103" s="45"/>
    </x:row>
    <x:row r="104" ht="15" hidden="0" customHeight="1">
      <x:c r="A104" s="45"/>
      <x:c r="B104" s="45"/>
      <x:c r="C104" s="45"/>
      <x:c r="D104" s="45"/>
      <x:c r="E104" s="45"/>
    </x:row>
    <x:row r="105" ht="15" hidden="0" customHeight="1">
      <x:c r="A105" s="45"/>
      <x:c r="B105" s="45"/>
      <x:c r="C105" s="45"/>
      <x:c r="D105" s="45"/>
      <x:c r="E105" s="45"/>
    </x:row>
    <x:row r="106" ht="15" hidden="0" customHeight="1">
      <x:c r="A106" s="45"/>
      <x:c r="B106" s="45"/>
      <x:c r="C106" s="45"/>
      <x:c r="D106" s="45"/>
      <x:c r="E106" s="45"/>
    </x:row>
    <x:row r="107" ht="15" hidden="0" customHeight="1">
      <x:c r="A107" s="45"/>
      <x:c r="B107" s="45"/>
      <x:c r="C107" s="45"/>
      <x:c r="D107" s="45"/>
      <x:c r="E107" s="45"/>
    </x:row>
    <x:row r="108" ht="15" hidden="0" customHeight="1">
      <x:c r="A108" s="45"/>
      <x:c r="B108" s="45"/>
      <x:c r="C108" s="45"/>
      <x:c r="D108" s="45"/>
      <x:c r="E108" s="45"/>
    </x:row>
    <x:row r="109" ht="15" hidden="0" customHeight="1">
      <x:c r="A109" s="45"/>
      <x:c r="B109" s="45"/>
      <x:c r="C109" s="45"/>
      <x:c r="D109" s="45"/>
      <x:c r="E109" s="45"/>
    </x:row>
    <x:row r="110" ht="15" hidden="0" customHeight="1">
      <x:c r="A110" s="45"/>
      <x:c r="B110" s="45"/>
      <x:c r="C110" s="45"/>
      <x:c r="D110" s="45"/>
      <x:c r="E110" s="45"/>
    </x:row>
    <x:row r="111" ht="15" hidden="0" customHeight="1">
      <x:c r="A111" s="45"/>
      <x:c r="B111" s="45"/>
      <x:c r="C111" s="45"/>
      <x:c r="D111" s="45"/>
      <x:c r="E111" s="45"/>
    </x:row>
    <x:row r="112" ht="15" hidden="0" customHeight="1">
      <x:c r="A112" s="45"/>
      <x:c r="B112" s="45"/>
      <x:c r="C112" s="45"/>
      <x:c r="D112" s="45"/>
      <x:c r="E112" s="45"/>
    </x:row>
    <x:row r="113" ht="15" hidden="0" customHeight="1">
      <x:c r="A113" s="45"/>
      <x:c r="B113" s="45"/>
      <x:c r="C113" s="45"/>
      <x:c r="D113" s="45"/>
      <x:c r="E113" s="45"/>
    </x:row>
    <x:row r="114" ht="15" hidden="0" customHeight="1">
      <x:c r="A114" s="45"/>
      <x:c r="B114" s="45"/>
      <x:c r="C114" s="45"/>
      <x:c r="D114" s="45"/>
      <x:c r="E114" s="45"/>
    </x:row>
    <x:row r="115" ht="15" hidden="0" customHeight="1">
      <x:c r="A115" s="45"/>
      <x:c r="B115" s="45"/>
      <x:c r="C115" s="45"/>
      <x:c r="D115" s="45"/>
      <x:c r="E115" s="45"/>
    </x:row>
    <x:row r="116" ht="15" hidden="0" customHeight="1">
      <x:c r="A116" s="45"/>
      <x:c r="B116" s="45"/>
      <x:c r="C116" s="45"/>
      <x:c r="D116" s="45"/>
      <x:c r="E116" s="45"/>
    </x:row>
    <x:row r="117" ht="15" hidden="0" customHeight="1">
      <x:c r="A117" s="45"/>
      <x:c r="B117" s="45"/>
      <x:c r="C117" s="45"/>
      <x:c r="D117" s="45"/>
      <x:c r="E117" s="45"/>
    </x:row>
    <x:row r="118" ht="15" hidden="0" customHeight="1">
      <x:c r="A118" s="45"/>
      <x:c r="B118" s="45"/>
      <x:c r="C118" s="45"/>
      <x:c r="D118" s="45"/>
      <x:c r="E118" s="45"/>
    </x:row>
    <x:row r="119" ht="15" hidden="0" customHeight="1">
      <x:c r="A119" s="45"/>
      <x:c r="B119" s="45"/>
      <x:c r="C119" s="45"/>
      <x:c r="D119" s="45"/>
      <x:c r="E119" s="45"/>
    </x:row>
    <x:row r="120" ht="15" hidden="0" customHeight="1">
      <x:c r="A120" s="45"/>
      <x:c r="B120" s="45"/>
      <x:c r="C120" s="45"/>
      <x:c r="D120" s="45"/>
      <x:c r="E120" s="45"/>
    </x:row>
    <x:row r="121" ht="15" hidden="0" customHeight="1">
      <x:c r="A121" s="45"/>
      <x:c r="B121" s="45"/>
      <x:c r="C121" s="45"/>
      <x:c r="D121" s="45"/>
      <x:c r="E121" s="45"/>
    </x:row>
    <x:row r="122" ht="15" hidden="0" customHeight="1">
      <x:c r="A122" s="45"/>
      <x:c r="B122" s="45"/>
      <x:c r="C122" s="45"/>
      <x:c r="D122" s="45"/>
      <x:c r="E122" s="45"/>
    </x:row>
    <x:row r="123" ht="15" hidden="0" customHeight="1">
      <x:c r="A123" s="45"/>
      <x:c r="B123" s="45"/>
      <x:c r="C123" s="45"/>
      <x:c r="D123" s="45"/>
      <x:c r="E123" s="45"/>
    </x:row>
    <x:row r="124" ht="15" hidden="0" customHeight="1">
      <x:c r="A124" s="45"/>
      <x:c r="B124" s="45"/>
      <x:c r="C124" s="45"/>
      <x:c r="D124" s="45"/>
      <x:c r="E124" s="45"/>
    </x:row>
    <x:row r="125" ht="15" hidden="0" customHeight="1">
      <x:c r="A125" s="45"/>
      <x:c r="B125" s="45"/>
      <x:c r="C125" s="45"/>
      <x:c r="D125" s="45"/>
      <x:c r="E125" s="45"/>
    </x:row>
    <x:row r="126" ht="15" hidden="0" customHeight="1">
      <x:c r="A126" s="45"/>
      <x:c r="B126" s="45"/>
      <x:c r="C126" s="45"/>
      <x:c r="D126" s="45"/>
      <x:c r="E126" s="45"/>
    </x:row>
    <x:row r="127" ht="15" hidden="0" customHeight="1">
      <x:c r="A127" s="45"/>
      <x:c r="B127" s="45"/>
      <x:c r="C127" s="45"/>
      <x:c r="D127" s="45"/>
      <x:c r="E127" s="45"/>
    </x:row>
    <x:row r="128" ht="15" hidden="0" customHeight="1">
      <x:c r="A128" s="45"/>
      <x:c r="B128" s="45"/>
      <x:c r="C128" s="45"/>
      <x:c r="D128" s="45"/>
      <x:c r="E128" s="45"/>
    </x:row>
    <x:row r="129" ht="15" hidden="0" customHeight="1">
      <x:c r="A129" s="45"/>
      <x:c r="B129" s="45"/>
      <x:c r="C129" s="45"/>
      <x:c r="D129" s="45"/>
      <x:c r="E129" s="45"/>
    </x:row>
    <x:row r="130" ht="15" hidden="0" customHeight="1">
      <x:c r="A130" s="45"/>
      <x:c r="B130" s="45"/>
      <x:c r="C130" s="45"/>
      <x:c r="D130" s="45"/>
      <x:c r="E130" s="45"/>
    </x:row>
    <x:row r="131" ht="15" hidden="0" customHeight="1">
      <x:c r="A131" s="45"/>
      <x:c r="B131" s="45"/>
      <x:c r="C131" s="45"/>
      <x:c r="D131" s="45"/>
      <x:c r="E131" s="45"/>
    </x:row>
    <x:row r="132" ht="15" hidden="0" customHeight="1">
      <x:c r="A132" s="45"/>
      <x:c r="B132" s="45"/>
      <x:c r="C132" s="45"/>
      <x:c r="D132" s="45"/>
      <x:c r="E132" s="45"/>
    </x:row>
    <x:row r="133" ht="15" hidden="0" customHeight="1">
      <x:c r="A133" s="45"/>
      <x:c r="B133" s="45"/>
      <x:c r="C133" s="45"/>
      <x:c r="D133" s="45"/>
      <x:c r="E133" s="45"/>
    </x:row>
    <x:row r="134" ht="15" hidden="0" customHeight="1">
      <x:c r="A134" s="45"/>
      <x:c r="B134" s="45"/>
      <x:c r="C134" s="45"/>
      <x:c r="D134" s="45"/>
      <x:c r="E134" s="45"/>
    </x:row>
    <x:row r="135" ht="15" hidden="0" customHeight="1">
      <x:c r="A135" s="45"/>
      <x:c r="B135" s="45"/>
      <x:c r="C135" s="45"/>
      <x:c r="D135" s="45"/>
      <x:c r="E135" s="45"/>
    </x:row>
    <x:row r="136" ht="15" hidden="0" customHeight="1">
      <x:c r="A136" s="45"/>
      <x:c r="B136" s="45"/>
      <x:c r="C136" s="45"/>
      <x:c r="D136" s="45"/>
      <x:c r="E136" s="45"/>
    </x:row>
    <x:row r="137" ht="15" hidden="0" customHeight="1">
      <x:c r="A137" s="45"/>
      <x:c r="B137" s="45"/>
      <x:c r="C137" s="45"/>
      <x:c r="D137" s="45"/>
      <x:c r="E137" s="45"/>
    </x:row>
    <x:row r="138" ht="15" hidden="0" customHeight="1">
      <x:c r="A138" s="45"/>
      <x:c r="B138" s="45"/>
      <x:c r="C138" s="45"/>
      <x:c r="D138" s="45"/>
      <x:c r="E138" s="45"/>
    </x:row>
    <x:row r="139" ht="15" hidden="0" customHeight="1">
      <x:c r="A139" s="45"/>
      <x:c r="B139" s="45"/>
      <x:c r="C139" s="45"/>
      <x:c r="D139" s="45"/>
      <x:c r="E139" s="45"/>
    </x:row>
    <x:row r="140" ht="15" hidden="0" customHeight="1">
      <x:c r="A140" s="45"/>
      <x:c r="B140" s="45"/>
      <x:c r="C140" s="45"/>
      <x:c r="D140" s="45"/>
      <x:c r="E140" s="45"/>
    </x:row>
    <x:row r="141" ht="15" hidden="0" customHeight="1">
      <x:c r="A141" s="45"/>
      <x:c r="B141" s="45"/>
      <x:c r="C141" s="45"/>
      <x:c r="D141" s="45"/>
      <x:c r="E141" s="45"/>
    </x:row>
    <x:row r="142" ht="15" hidden="0" customHeight="1">
      <x:c r="A142" s="45"/>
      <x:c r="B142" s="45"/>
      <x:c r="C142" s="45"/>
      <x:c r="D142" s="45"/>
      <x:c r="E142" s="45"/>
    </x:row>
    <x:row r="143" ht="15" hidden="0" customHeight="1">
      <x:c r="A143" s="45"/>
      <x:c r="B143" s="45"/>
      <x:c r="C143" s="45"/>
      <x:c r="D143" s="45"/>
      <x:c r="E143" s="45"/>
    </x:row>
    <x:row r="144" ht="15" hidden="0" customHeight="1">
      <x:c r="A144" s="45"/>
      <x:c r="B144" s="45"/>
      <x:c r="C144" s="45"/>
      <x:c r="D144" s="45"/>
      <x:c r="E144" s="45"/>
    </x:row>
    <x:row r="145" ht="15" hidden="0" customHeight="1">
      <x:c r="A145" s="45"/>
      <x:c r="B145" s="45"/>
      <x:c r="C145" s="45"/>
      <x:c r="D145" s="45"/>
      <x:c r="E145" s="45"/>
    </x:row>
    <x:row r="146" ht="15" hidden="0" customHeight="1">
      <x:c r="A146" s="45"/>
      <x:c r="B146" s="45"/>
      <x:c r="C146" s="45"/>
      <x:c r="D146" s="45"/>
      <x:c r="E146" s="45"/>
    </x:row>
    <x:row r="147" ht="15" hidden="0" customHeight="1">
      <x:c r="A147" s="45"/>
      <x:c r="B147" s="45"/>
      <x:c r="C147" s="45"/>
      <x:c r="D147" s="45"/>
      <x:c r="E147" s="45"/>
    </x:row>
    <x:row r="148" ht="15" hidden="0" customHeight="1">
      <x:c r="A148" s="45"/>
      <x:c r="B148" s="45"/>
      <x:c r="C148" s="45"/>
      <x:c r="D148" s="45"/>
      <x:c r="E148" s="45"/>
    </x:row>
    <x:row r="149" ht="15" hidden="0" customHeight="1">
      <x:c r="A149" s="45"/>
      <x:c r="B149" s="45"/>
      <x:c r="C149" s="45"/>
      <x:c r="D149" s="45"/>
      <x:c r="E149" s="45"/>
    </x:row>
    <x:row r="150" ht="15" hidden="0" customHeight="1">
      <x:c r="A150" s="45"/>
      <x:c r="B150" s="45"/>
      <x:c r="C150" s="45"/>
      <x:c r="D150" s="45"/>
      <x:c r="E150" s="45"/>
    </x:row>
    <x:row r="151" ht="15" hidden="0" customHeight="1">
      <x:c r="A151" s="45"/>
      <x:c r="B151" s="45"/>
      <x:c r="C151" s="45"/>
      <x:c r="D151" s="45"/>
      <x:c r="E151" s="45"/>
    </x:row>
    <x:row r="152" ht="15" hidden="0" customHeight="1">
      <x:c r="A152" s="45"/>
      <x:c r="B152" s="45"/>
      <x:c r="C152" s="45"/>
      <x:c r="D152" s="45"/>
      <x:c r="E152" s="45"/>
    </x:row>
    <x:row r="153" ht="15" hidden="0" customHeight="1">
      <x:c r="A153" s="45"/>
      <x:c r="B153" s="45"/>
      <x:c r="C153" s="45"/>
      <x:c r="D153" s="45"/>
      <x:c r="E153" s="45"/>
    </x:row>
    <x:row r="154" ht="15" hidden="0" customHeight="1">
      <x:c r="A154" s="45"/>
      <x:c r="B154" s="45"/>
      <x:c r="C154" s="45"/>
      <x:c r="D154" s="45"/>
      <x:c r="E154" s="45"/>
    </x:row>
    <x:row r="155" ht="15" hidden="0" customHeight="1">
      <x:c r="A155" s="45"/>
      <x:c r="B155" s="45"/>
      <x:c r="C155" s="45"/>
      <x:c r="D155" s="45"/>
      <x:c r="E155" s="45"/>
    </x:row>
    <x:row r="156" ht="15" hidden="0" customHeight="1">
      <x:c r="A156" s="45"/>
      <x:c r="B156" s="45"/>
      <x:c r="C156" s="45"/>
      <x:c r="D156" s="45"/>
      <x:c r="E156" s="45"/>
    </x:row>
    <x:row r="157" ht="15" hidden="0" customHeight="1">
      <x:c r="A157" s="45"/>
      <x:c r="B157" s="45"/>
      <x:c r="C157" s="45"/>
      <x:c r="D157" s="45"/>
      <x:c r="E157" s="45"/>
    </x:row>
    <x:row r="158" ht="15" hidden="0" customHeight="1">
      <x:c r="A158" s="45"/>
      <x:c r="B158" s="45"/>
      <x:c r="C158" s="45"/>
      <x:c r="D158" s="45"/>
      <x:c r="E158" s="45"/>
    </x:row>
    <x:row r="159" ht="15" hidden="0" customHeight="1">
      <x:c r="A159" s="45"/>
      <x:c r="B159" s="45"/>
      <x:c r="C159" s="45"/>
      <x:c r="D159" s="45"/>
      <x:c r="E159" s="45"/>
    </x:row>
    <x:row r="160" ht="15" hidden="0" customHeight="1">
      <x:c r="A160" s="45"/>
      <x:c r="B160" s="45"/>
      <x:c r="C160" s="45"/>
      <x:c r="D160" s="45"/>
      <x:c r="E160" s="45"/>
    </x:row>
    <x:row r="161" ht="15" hidden="0" customHeight="1">
      <x:c r="A161" s="45"/>
      <x:c r="B161" s="45"/>
      <x:c r="C161" s="45"/>
      <x:c r="D161" s="45"/>
      <x:c r="E161" s="45"/>
    </x:row>
    <x:row r="162" ht="15" hidden="0" customHeight="1">
      <x:c r="A162" s="45"/>
      <x:c r="B162" s="45"/>
      <x:c r="C162" s="45"/>
      <x:c r="D162" s="45"/>
      <x:c r="E162" s="45"/>
    </x:row>
    <x:row r="163" ht="15" hidden="0" customHeight="1">
      <x:c r="A163" s="45"/>
      <x:c r="B163" s="45"/>
      <x:c r="C163" s="45"/>
      <x:c r="D163" s="45"/>
      <x:c r="E163" s="45"/>
    </x:row>
    <x:row r="164" ht="15" hidden="0" customHeight="1">
      <x:c r="A164" s="45"/>
      <x:c r="B164" s="45"/>
      <x:c r="C164" s="45"/>
      <x:c r="D164" s="45"/>
      <x:c r="E164" s="45"/>
    </x:row>
    <x:row r="165" ht="15" hidden="0" customHeight="1">
      <x:c r="A165" s="45"/>
      <x:c r="B165" s="45"/>
      <x:c r="C165" s="45"/>
      <x:c r="D165" s="45"/>
      <x:c r="E165" s="45"/>
    </x:row>
    <x:row r="166" ht="15" hidden="0" customHeight="1">
      <x:c r="A166" s="45"/>
      <x:c r="B166" s="45"/>
      <x:c r="C166" s="45"/>
      <x:c r="D166" s="45"/>
      <x:c r="E166" s="45"/>
    </x:row>
    <x:row r="167" ht="15" hidden="0" customHeight="1">
      <x:c r="A167" s="45"/>
      <x:c r="B167" s="45"/>
      <x:c r="C167" s="45"/>
      <x:c r="D167" s="45"/>
      <x:c r="E167" s="45"/>
    </x:row>
    <x:row r="168" ht="15" hidden="0" customHeight="1">
      <x:c r="A168" s="45"/>
      <x:c r="B168" s="45"/>
      <x:c r="C168" s="45"/>
      <x:c r="D168" s="45"/>
      <x:c r="E168" s="45"/>
    </x:row>
    <x:row r="169" ht="15" hidden="0" customHeight="1">
      <x:c r="A169" s="45"/>
      <x:c r="B169" s="45"/>
      <x:c r="C169" s="45"/>
      <x:c r="D169" s="45"/>
      <x:c r="E169" s="45"/>
    </x:row>
    <x:row r="170" ht="15" hidden="0" customHeight="1">
      <x:c r="A170" s="45"/>
      <x:c r="B170" s="45"/>
      <x:c r="C170" s="45"/>
      <x:c r="D170" s="45"/>
      <x:c r="E170" s="45"/>
    </x:row>
    <x:row r="171" ht="15" hidden="0" customHeight="1">
      <x:c r="A171" s="45"/>
      <x:c r="B171" s="45"/>
      <x:c r="C171" s="45"/>
      <x:c r="D171" s="45"/>
      <x:c r="E171" s="45"/>
    </x:row>
    <x:row r="172" ht="15" hidden="0" customHeight="1">
      <x:c r="A172" s="45"/>
      <x:c r="B172" s="45"/>
      <x:c r="C172" s="45"/>
      <x:c r="D172" s="45"/>
      <x:c r="E172" s="45"/>
    </x:row>
    <x:row r="173" ht="15" hidden="0" customHeight="1">
      <x:c r="A173" s="45"/>
      <x:c r="B173" s="45"/>
      <x:c r="C173" s="45"/>
      <x:c r="D173" s="45"/>
      <x:c r="E173" s="45"/>
    </x:row>
    <x:row r="174" ht="15" hidden="0" customHeight="1">
      <x:c r="A174" s="45"/>
      <x:c r="B174" s="45"/>
      <x:c r="C174" s="45"/>
      <x:c r="D174" s="45"/>
      <x:c r="E174" s="45"/>
    </x:row>
    <x:row r="175" ht="15" hidden="0" customHeight="1">
      <x:c r="A175" s="45"/>
      <x:c r="B175" s="45"/>
      <x:c r="C175" s="45"/>
      <x:c r="D175" s="45"/>
      <x:c r="E175" s="45"/>
    </x:row>
    <x:row r="176" ht="15" hidden="0" customHeight="1">
      <x:c r="A176" s="45"/>
      <x:c r="B176" s="45"/>
      <x:c r="C176" s="45"/>
      <x:c r="D176" s="45"/>
      <x:c r="E176" s="45"/>
    </x:row>
    <x:row r="177" ht="15" hidden="0" customHeight="1">
      <x:c r="A177" s="45"/>
      <x:c r="B177" s="45"/>
      <x:c r="C177" s="45"/>
      <x:c r="D177" s="45"/>
      <x:c r="E177" s="45"/>
    </x:row>
    <x:row r="178" ht="15" hidden="0" customHeight="1">
      <x:c r="A178" s="45"/>
      <x:c r="B178" s="45"/>
      <x:c r="C178" s="45"/>
      <x:c r="D178" s="45"/>
      <x:c r="E178" s="45"/>
    </x:row>
    <x:row r="179" ht="15" hidden="0" customHeight="1">
      <x:c r="A179" s="45"/>
      <x:c r="B179" s="45"/>
      <x:c r="C179" s="45"/>
      <x:c r="D179" s="45"/>
      <x:c r="E179" s="45"/>
    </x:row>
    <x:row r="180" ht="15" hidden="0" customHeight="1">
      <x:c r="A180" s="45"/>
      <x:c r="B180" s="45"/>
      <x:c r="C180" s="45"/>
      <x:c r="D180" s="45"/>
      <x:c r="E180" s="45"/>
    </x:row>
    <x:row r="181" ht="15" hidden="0" customHeight="1">
      <x:c r="A181" s="45"/>
      <x:c r="B181" s="45"/>
      <x:c r="C181" s="45"/>
      <x:c r="D181" s="45"/>
      <x:c r="E181" s="45"/>
    </x:row>
    <x:row r="182" ht="15" hidden="0" customHeight="1">
      <x:c r="A182" s="45"/>
      <x:c r="B182" s="45"/>
      <x:c r="C182" s="45"/>
      <x:c r="D182" s="45"/>
      <x:c r="E182" s="45"/>
    </x:row>
    <x:row r="183" ht="15" hidden="0" customHeight="1">
      <x:c r="A183" s="45"/>
      <x:c r="B183" s="45"/>
      <x:c r="C183" s="45"/>
      <x:c r="D183" s="45"/>
      <x:c r="E183" s="45"/>
    </x:row>
    <x:row r="184" ht="15" hidden="0" customHeight="1">
      <x:c r="A184" s="45"/>
      <x:c r="B184" s="45"/>
      <x:c r="C184" s="45"/>
      <x:c r="D184" s="45"/>
      <x:c r="E184" s="45"/>
    </x:row>
    <x:row r="185" ht="15" hidden="0" customHeight="1">
      <x:c r="A185" s="45"/>
      <x:c r="B185" s="45"/>
      <x:c r="C185" s="45"/>
      <x:c r="D185" s="45"/>
      <x:c r="E185" s="45"/>
    </x:row>
    <x:row r="186" ht="15" hidden="0" customHeight="1">
      <x:c r="A186" s="45"/>
      <x:c r="B186" s="45"/>
      <x:c r="C186" s="45"/>
      <x:c r="D186" s="45"/>
      <x:c r="E186" s="45"/>
    </x:row>
    <x:row r="187" ht="15" hidden="0" customHeight="1">
      <x:c r="A187" s="45"/>
      <x:c r="B187" s="45"/>
      <x:c r="C187" s="45"/>
      <x:c r="D187" s="45"/>
      <x:c r="E187" s="45"/>
    </x:row>
    <x:row r="188" ht="15" hidden="0" customHeight="1">
      <x:c r="A188" s="45"/>
      <x:c r="B188" s="45"/>
      <x:c r="C188" s="45"/>
      <x:c r="D188" s="45"/>
      <x:c r="E188" s="45"/>
    </x:row>
    <x:row r="189" ht="15" hidden="0" customHeight="1">
      <x:c r="A189" s="45"/>
      <x:c r="B189" s="45"/>
      <x:c r="C189" s="45"/>
      <x:c r="D189" s="45"/>
      <x:c r="E189" s="45"/>
    </x:row>
    <x:row r="190" ht="15" hidden="0" customHeight="1">
      <x:c r="A190" s="45"/>
      <x:c r="B190" s="45"/>
      <x:c r="C190" s="45"/>
      <x:c r="D190" s="45"/>
      <x:c r="E190" s="45"/>
    </x:row>
    <x:row r="191" ht="15" hidden="0" customHeight="1">
      <x:c r="A191" s="45"/>
      <x:c r="B191" s="45"/>
      <x:c r="C191" s="45"/>
      <x:c r="D191" s="45"/>
      <x:c r="E191" s="45"/>
    </x:row>
    <x:row r="192" ht="15" hidden="0" customHeight="1">
      <x:c r="A192" s="45"/>
      <x:c r="B192" s="45"/>
      <x:c r="C192" s="45"/>
      <x:c r="D192" s="45"/>
      <x:c r="E192" s="45"/>
    </x:row>
    <x:row r="193" ht="15" hidden="0" customHeight="1">
      <x:c r="A193" s="45"/>
      <x:c r="B193" s="45"/>
      <x:c r="C193" s="45"/>
      <x:c r="D193" s="45"/>
      <x:c r="E193" s="45"/>
    </x:row>
    <x:row r="194" ht="15" hidden="0" customHeight="1">
      <x:c r="A194" s="45"/>
      <x:c r="B194" s="45"/>
      <x:c r="C194" s="45"/>
      <x:c r="D194" s="45"/>
      <x:c r="E194" s="45"/>
    </x:row>
    <x:row r="195" ht="15" hidden="0" customHeight="1">
      <x:c r="A195" s="45"/>
      <x:c r="B195" s="45"/>
      <x:c r="C195" s="45"/>
      <x:c r="D195" s="45"/>
      <x:c r="E195" s="45"/>
    </x:row>
    <x:row r="196" ht="15" hidden="0" customHeight="1">
      <x:c r="A196" s="45"/>
      <x:c r="B196" s="45"/>
      <x:c r="C196" s="45"/>
      <x:c r="D196" s="45"/>
      <x:c r="E196" s="45"/>
    </x:row>
    <x:row r="197" ht="15" hidden="0" customHeight="1">
      <x:c r="A197" s="45"/>
      <x:c r="B197" s="45"/>
      <x:c r="C197" s="45"/>
      <x:c r="D197" s="45"/>
      <x:c r="E197" s="45"/>
    </x:row>
    <x:row r="198" ht="15" hidden="0" customHeight="1">
      <x:c r="A198" s="45"/>
      <x:c r="B198" s="45"/>
      <x:c r="C198" s="45"/>
      <x:c r="D198" s="45"/>
      <x:c r="E198" s="45"/>
    </x:row>
    <x:row r="199" ht="15" hidden="0" customHeight="1">
      <x:c r="A199" s="45"/>
      <x:c r="B199" s="45"/>
      <x:c r="C199" s="45"/>
      <x:c r="D199" s="45"/>
      <x:c r="E199" s="45"/>
    </x:row>
    <x:row r="200" ht="15" hidden="0" customHeight="1">
      <x:c r="A200" s="45"/>
      <x:c r="B200" s="45"/>
      <x:c r="C200" s="45"/>
      <x:c r="D200" s="45"/>
      <x:c r="E200" s="45"/>
    </x:row>
  </x:sheetData>
  <x:mergeCells>
    <x:mergeCell ref="A14:E15"/>
  </x:mergeCells>
  <x:pageMargins left="0.7" right="0.7" top="0.75" bottom="0.75" header="0.3" footer="0.3"/>
  <x:tableParts count="1">
    <x:tablePart xmlns:r="http://schemas.openxmlformats.org/officeDocument/2006/relationships" r:id="R8065ffc5bc674a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8" hidden="0" customWidth="1"/>
    <x:col min="5" max="5" width="42" hidden="0" customWidth="1"/>
    <x:col min="6" max="6" width="20" hidden="0" customWidth="1"/>
    <x:col min="7" max="7" width="14" hidden="0" customWidth="1"/>
    <x:col min="8" max="8" width="16" hidden="0" customWidth="1"/>
    <x:col min="9" max="9" width="26" hidden="0" customWidth="1"/>
    <x:col min="10" max="10" width="22" hidden="0" customWidth="1"/>
    <x:col min="11" max="11" width="16" hidden="0" customWidth="1"/>
    <x:col min="12" max="12" width="16" hidden="0" customWidth="1"/>
    <x:col min="13" max="13" width="42" hidden="0" customWidth="1"/>
    <x:col min="14" max="14" width="28" hidden="0" customWidth="1"/>
    <x:col min="15" max="15" width="46" hidden="0" customWidth="1"/>
    <x:col min="16" max="16" width="16" hidden="0" customWidth="1"/>
    <x:col min="17" max="17" width="44" hidden="0" customWidth="1"/>
  </x:cols>
  <x:sheetData>
    <x:row r="1" ht="30" customHeight="1">
      <x:c r="A1" s="69" t="str">
        <x:v>מנוע ניתוח משפטי — Rule Catalog V1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</x:row>
    <x:row r="2">
      <x:c r="A2" s="70" t="str">
        <x:v>כל שורה היא כלל ניתוח. 'תנאי' אינו נוסחת מערכת סופית אלא מפרט לוגי לפיתוח. ה-AI משמש לחילוץ נתונים ממסמכים ולסיווג; הקביעה המשפטית והניקוד נשלטים על ידי הכללים.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71" t="str">
        <x:v>Rule ID</x:v>
      </x:c>
      <x:c r="B5" s="71" t="str">
        <x:v>תחום</x:v>
      </x:c>
      <x:c r="C5" s="71" t="str">
        <x:v>ממצא/נושא</x:v>
      </x:c>
      <x:c r="D5" s="71" t="str">
        <x:v>קלטים</x:v>
      </x:c>
      <x:c r="E5" s="71" t="str">
        <x:v>תנאי לוגי V1</x:v>
      </x:c>
      <x:c r="F5" s="71" t="str">
        <x:v>סטטוס מוצע</x:v>
      </x:c>
      <x:c r="G5" s="71" t="str">
        <x:v>חומרה בסיסית 1-5</x:v>
      </x:c>
      <x:c r="H5" s="71" t="str">
        <x:v>Override קריטי?</x:v>
      </x:c>
      <x:c r="I5" s="71" t="str">
        <x:v>ראיה נדרשת</x:v>
      </x:c>
      <x:c r="J5" s="71" t="str">
        <x:v>חישוב היקף</x:v>
      </x:c>
      <x:c r="K5" s="71" t="str">
        <x:v>משך</x:v>
      </x:c>
      <x:c r="L5" s="71" t="str">
        <x:v>שיטתיות</x:v>
      </x:c>
      <x:c r="M5" s="71" t="str">
        <x:v>המלצה ראשונית</x:v>
      </x:c>
      <x:c r="N5" s="71" t="str">
        <x:v>שירות אפשרי</x:v>
      </x:c>
      <x:c r="O5" s="71" t="str">
        <x:v>מקור משפטי</x:v>
      </x:c>
      <x:c r="P5" s="71" t="str">
        <x:v>אוטומציה</x:v>
      </x:c>
      <x:c r="Q5" s="71" t="str">
        <x:v>הערת זהירות</x:v>
      </x:c>
    </x:row>
    <x:row r="6">
      <x:c r="A6" s="45" t="str">
        <x:v>R-EMP-001</x:v>
      </x:c>
      <x:c r="B6" s="45" t="str">
        <x:v>דיני עבודה</x:v>
      </x:c>
      <x:c r="C6" s="45" t="str">
        <x:v>היעדר מסמך תנאי עבודה</x:v>
      </x:c>
      <x:c r="D6" s="45" t="str">
        <x:v>EMP-01, EMP-02</x:v>
      </x:c>
      <x:c r="E6" s="45" t="str">
        <x:v>EMP-01=לא AND EMP-02=לא</x:v>
      </x:c>
      <x:c r="F6" s="45" t="str">
        <x:v>חשיפה ברורה</x:v>
      </x:c>
      <x:c r="G6" s="45" t="n">
        <x:v>4</x:v>
      </x:c>
      <x:c r="H6" s="45" t="str">
        <x:v>לא</x:v>
      </x:c>
      <x:c r="I6" s="45" t="str">
        <x:v>דיווח עצמי; עדיפות למסמכי עובד</x:v>
      </x:c>
      <x:c r="J6" s="45" t="str">
        <x:v>מספר העובדים ללא מסמך</x:v>
      </x:c>
      <x:c r="K6" s="45" t="str">
        <x:v>משך ההעסקה</x:v>
      </x:c>
      <x:c r="L6" s="45" t="str">
        <x:v>מדיניות/רוחבי</x:v>
      </x:c>
      <x:c r="M6" s="45" t="str">
        <x:v>להסדיר מסמכי תנאי עבודה ולבדוק רטרואקטיבית את האוכלוסייה.</x:v>
      </x:c>
      <x:c r="N6" s="45" t="str">
        <x:v>הסכמי עבודה/הודעות לעובד</x:v>
      </x:c>
      <x:c r="O6" s="45" t="str">
        <x:v>https://www.gov.il/BlobFolder/generalpage/work-rights-working-conditions-notification/he/workers-rights_admission-to-work_work-rights-working-conditions-notification_Hodaa-Pirot.pdf</x:v>
      </x:c>
      <x:c r="P6" s="45" t="str">
        <x:v>אוטומטי</x:v>
      </x:c>
      <x:c r="Q6" s="45" t="str">
        <x:v>יש לבדוק חריגים ומועד מסירה לפי נסיבות.</x:v>
      </x:c>
    </x:row>
    <x:row r="7">
      <x:c r="A7" s="45" t="str">
        <x:v>R-EMP-002</x:v>
      </x:c>
      <x:c r="B7" s="45" t="str">
        <x:v>דיני עבודה</x:v>
      </x:c>
      <x:c r="C7" s="45" t="str">
        <x:v>אין הודעה אך קיים הסכם</x:v>
      </x:c>
      <x:c r="D7" s="45" t="str">
        <x:v>EMP-01, EMP-02, DOC-01</x:v>
      </x:c>
      <x:c r="E7" s="45" t="str">
        <x:v>EMP-02=לא AND EMP-01=כן/חלק</x:v>
      </x:c>
      <x:c r="F7" s="45" t="str">
        <x:v>נדרשת בדיקת מסמך</x:v>
      </x:c>
      <x:c r="G7" s="45" t="n">
        <x:v>2</x:v>
      </x:c>
      <x:c r="H7" s="45" t="str">
        <x:v>לא</x:v>
      </x:c>
      <x:c r="I7" s="45" t="str">
        <x:v>הסכם עבודה</x:v>
      </x:c>
      <x:c r="J7" s="45" t="str">
        <x:v>מספר העובדים הרלוונטיים</x:v>
      </x:c>
      <x:c r="K7" s="45" t="str">
        <x:v>משך ההעסקה</x:v>
      </x:c>
      <x:c r="L7" s="45" t="str">
        <x:v>לפי דפוס</x:v>
      </x:c>
      <x:c r="M7" s="45" t="str">
        <x:v>AI יבדוק אם ההסכם כולל את פרטי החובה; אין לקבוע הפרה אוטומטית.</x:v>
      </x:c>
      <x:c r="N7" s="45" t="str">
        <x:v>בדיקת/עדכון הסכמים</x:v>
      </x:c>
      <x:c r="O7" s="45" t="str">
        <x:v>https://fs.knesset.gov.il/%5C18%5Claw%5C18_lsr_301205.pdf</x:v>
      </x:c>
      <x:c r="P7" s="45" t="str">
        <x:v>AI+Rule</x:v>
      </x:c>
      <x:c r="Q7" s="45" t="str">
        <x:v>סעיף 2(ד): הסכם מתאים עשוי למלא את החובה.</x:v>
      </x:c>
    </x:row>
    <x:row r="8">
      <x:c r="A8" s="45" t="str">
        <x:v>R-EMP-003</x:v>
      </x:c>
      <x:c r="B8" s="45" t="str">
        <x:v>דיני עבודה</x:v>
      </x:c>
      <x:c r="C8" s="45" t="str">
        <x:v>שינוי תנאים ללא תיעוד</x:v>
      </x:c>
      <x:c r="D8" s="45" t="str">
        <x:v>EMP-04, EMP-05</x:v>
      </x:c>
      <x:c r="E8" s="45" t="str">
        <x:v>EMP-04=כן AND EMP-05=לפעמים/לא</x:v>
      </x:c>
      <x:c r="F8" s="45" t="str">
        <x:v>חשיפה אפשרית</x:v>
      </x:c>
      <x:c r="G8" s="45" t="n">
        <x:v>3</x:v>
      </x:c>
      <x:c r="H8" s="45" t="str">
        <x:v>לא</x:v>
      </x:c>
      <x:c r="I8" s="45" t="str">
        <x:v>דיווח עצמי + מסמכי שינוי</x:v>
      </x:c>
      <x:c r="J8" s="45" t="str">
        <x:v>מספר העובדים ששונו תנאיהם</x:v>
      </x:c>
      <x:c r="K8" s="45" t="str">
        <x:v>משך מאז השינוי</x:v>
      </x:c>
      <x:c r="L8" s="45" t="str">
        <x:v>חוזר/מדיניות</x:v>
      </x:c>
      <x:c r="M8" s="45" t="str">
        <x:v>למפות שינויים וליצור מנגנון הודעה ותיעוד.</x:v>
      </x:c>
      <x:c r="N8" s="45" t="str">
        <x:v>נוהל שינוי תנאי העסקה</x:v>
      </x:c>
      <x:c r="O8" s="45" t="str">
        <x:v>https://www.gov.il/BlobFolder/generalpage/work-rights-working-conditions-notification/he/workers-rights_admission-to-work_work-rights-working-conditions-notification_Hodaa-Pirot.pdf</x:v>
      </x:c>
      <x:c r="P8" s="45" t="str">
        <x:v>אוטומטי</x:v>
      </x:c>
      <x:c r="Q8" s="45" t="str">
        <x:v>נדרשת בדיקה לפי סוג השינוי והחריגים.</x:v>
      </x:c>
    </x:row>
    <x:row r="9">
      <x:c r="A9" s="45" t="str">
        <x:v>R-TIME-001</x:v>
      </x:c>
      <x:c r="B9" s="45" t="str">
        <x:v>שעות עבודה</x:v>
      </x:c>
      <x:c r="C9" s="45" t="str">
        <x:v>עובדים שאינם מדווחים שעות</x:v>
      </x:c>
      <x:c r="D9" s="45" t="str">
        <x:v>TIME-01, TIME-03, GEN-09</x:v>
      </x:c>
      <x:c r="E9" s="45" t="str">
        <x:v>TIME-01=רק חלק/רק שעתיים/לא</x:v>
      </x:c>
      <x:c r="F9" s="45" t="str">
        <x:v>חשיפה אפשרית</x:v>
      </x:c>
      <x:c r="G9" s="45" t="n">
        <x:v>4</x:v>
      </x:c>
      <x:c r="H9" s="45" t="str">
        <x:v>לא</x:v>
      </x:c>
      <x:c r="I9" s="45" t="str">
        <x:v>דיווח + תפקידים + הסכמים</x:v>
      </x:c>
      <x:c r="J9" s="45" t="str">
        <x:v>מספר עובדים ללא דיווח</x:v>
      </x:c>
      <x:c r="K9" s="45" t="str">
        <x:v>משך הפרקטיקה</x:v>
      </x:c>
      <x:c r="L9" s="45" t="str">
        <x:v>מדיניות/רוחבי</x:v>
      </x:c>
      <x:c r="M9" s="45" t="str">
        <x:v>לבחון תחולת חוק שעות עבודה ומנוחה והאם ההחרגה מוצדקת.</x:v>
      </x:c>
      <x:c r="N9" s="45" t="str">
        <x:v>בדיקת נוכחות ומשרות אמון</x:v>
      </x:c>
      <x:c r="O9" s="45" t="str"/>
      <x:c r="P9" s="45" t="str">
        <x:v>Rule+Manual</x:v>
      </x:c>
      <x:c r="Q9" s="45" t="str">
        <x:v>אין להסיק שמשרת אמון רק כי כך הוגדרה.</x:v>
      </x:c>
    </x:row>
    <x:row r="10">
      <x:c r="A10" s="45" t="str">
        <x:v>R-TIME-002</x:v>
      </x:c>
      <x:c r="B10" s="45" t="str">
        <x:v>שעות עבודה</x:v>
      </x:c>
      <x:c r="C10" s="45" t="str">
        <x:v>שעות נוספות כלולות בשכר/לא משולמות</x:v>
      </x:c>
      <x:c r="D10" s="45" t="str">
        <x:v>TIME-06, TIME-07, DOC-01, DOC-03, DOC-04</x:v>
      </x:c>
      <x:c r="E10" s="45" t="str">
        <x:v>TIME-06=כן/לעיתים AND TIME-07 כולל כלולות בשכר או לא משולמות</x:v>
      </x:c>
      <x:c r="F10" s="45" t="str">
        <x:v>חשיפה גבוהה</x:v>
      </x:c>
      <x:c r="G10" s="45" t="n">
        <x:v>5</x:v>
      </x:c>
      <x:c r="H10" s="45" t="str">
        <x:v>כן</x:v>
      </x:c>
      <x:c r="I10" s="45" t="str">
        <x:v>תלוש + נוכחות + הסכם</x:v>
      </x:c>
      <x:c r="J10" s="45" t="str">
        <x:v>מספר העובדים</x:v>
      </x:c>
      <x:c r="K10" s="45" t="str">
        <x:v>משך</x:v>
      </x:c>
      <x:c r="L10" s="45" t="str">
        <x:v>מדיניות/חוזר</x:v>
      </x:c>
      <x:c r="M10" s="45" t="str">
        <x:v>בדיקה מיידית של מנגנון התשלום והפרשי שכר אפשריים.</x:v>
      </x:c>
      <x:c r="N10" s="45" t="str">
        <x:v>בדיקת שעות נוספות</x:v>
      </x:c>
      <x:c r="O10" s="45" t="str"/>
      <x:c r="P10" s="45" t="str">
        <x:v>AI+Rule</x:v>
      </x:c>
      <x:c r="Q10" s="45" t="str">
        <x:v>Override קריטי כאשר הפרקטיקה רוחבית/ממושכת; יש לבדוק חריגים.</x:v>
      </x:c>
    </x:row>
    <x:row r="11">
      <x:c r="A11" s="45" t="str">
        <x:v>R-TIME-003</x:v>
      </x:c>
      <x:c r="B11" s="45" t="str">
        <x:v>שעות עבודה</x:v>
      </x:c>
      <x:c r="C11" s="45" t="str">
        <x:v>רכיב גלובלי שאינו נפרד/לא מגובה</x:v>
      </x:c>
      <x:c r="D11" s="45" t="str">
        <x:v>TIME-07, TIME-08, DOC-01, DOC-03, DOC-04</x:v>
      </x:c>
      <x:c r="E11" s="45" t="str">
        <x:v>TIME-07 כולל גלובלי AND (TIME-08=לא OR מסמך/נוכחות אינם תומכים)</x:v>
      </x:c>
      <x:c r="F11" s="45" t="str">
        <x:v>חשיפה אפשרית</x:v>
      </x:c>
      <x:c r="G11" s="45" t="n">
        <x:v>4</x:v>
      </x:c>
      <x:c r="H11" s="45" t="str">
        <x:v>לא</x:v>
      </x:c>
      <x:c r="I11" s="45" t="str">
        <x:v>הסכם + תלוש + נוכחות</x:v>
      </x:c>
      <x:c r="J11" s="45" t="str">
        <x:v>עובדים עם רכיב גלובלי</x:v>
      </x:c>
      <x:c r="K11" s="45" t="str">
        <x:v>משך</x:v>
      </x:c>
      <x:c r="L11" s="45" t="str">
        <x:v>מדיניות</x:v>
      </x:c>
      <x:c r="M11" s="45" t="str">
        <x:v>לבדוק סבירות הרכיב, הפרדה ותאימות לביצוע בפועל.</x:v>
      </x:c>
      <x:c r="N11" s="45" t="str">
        <x:v>בדיקת הסכמי שכר</x:v>
      </x:c>
      <x:c r="O11" s="45" t="str"/>
      <x:c r="P11" s="45" t="str">
        <x:v>AI+Rule</x:v>
      </x:c>
      <x:c r="Q11" s="45" t="str">
        <x:v>הניקוד יושפע מחוסר התאמה בין רכיב גלובלי לשעות בפועל.</x:v>
      </x:c>
    </x:row>
    <x:row r="12">
      <x:c r="A12" s="45" t="str">
        <x:v>R-TIME-004</x:v>
      </x:c>
      <x:c r="B12" s="45" t="str">
        <x:v>שעות עבודה</x:v>
      </x:c>
      <x:c r="C12" s="45" t="str">
        <x:v>עבודה בלילה</x:v>
      </x:c>
      <x:c r="D12" s="45" t="str">
        <x:v>TIME-13</x:v>
      </x:c>
      <x:c r="E12" s="45" t="str">
        <x:v>TIME-13=כן</x:v>
      </x:c>
      <x:c r="F12" s="45" t="str">
        <x:v>נדרשת בדיקה</x:v>
      </x:c>
      <x:c r="G12" s="45" t="n">
        <x:v>2</x:v>
      </x:c>
      <x:c r="H12" s="45" t="str">
        <x:v>לא</x:v>
      </x:c>
      <x:c r="I12" s="45" t="str">
        <x:v>שעות משמרת + נוכחות</x:v>
      </x:c>
      <x:c r="J12" s="45" t="str">
        <x:v>עובדי לילה</x:v>
      </x:c>
      <x:c r="K12" s="45" t="str">
        <x:v>משך</x:v>
      </x:c>
      <x:c r="L12" s="45" t="str">
        <x:v>חוזר</x:v>
      </x:c>
      <x:c r="M12" s="45" t="str">
        <x:v>לבדוק מגבלות עבודת לילה, שעות נוספות והסדרים מיוחדים.</x:v>
      </x:c>
      <x:c r="N12" s="45" t="str">
        <x:v>בדיקת משמרות</x:v>
      </x:c>
      <x:c r="O12" s="45" t="str"/>
      <x:c r="P12" s="45" t="str">
        <x:v>Rule+Manual</x:v>
      </x:c>
      <x:c r="Q12" s="45" t="str">
        <x:v>עצם עבודת הלילה אינה הפרה.</x:v>
      </x:c>
    </x:row>
    <x:row r="13">
      <x:c r="A13" s="45" t="str">
        <x:v>R-TIME-005</x:v>
      </x:c>
      <x:c r="B13" s="45" t="str">
        <x:v>שעות עבודה</x:v>
      </x:c>
      <x:c r="C13" s="45" t="str">
        <x:v>עבודה במנוחה שבועית/חג</x:v>
      </x:c>
      <x:c r="D13" s="45" t="str">
        <x:v>TIME-14</x:v>
      </x:c>
      <x:c r="E13" s="45" t="str">
        <x:v>TIME-14=כן/לעיתים</x:v>
      </x:c>
      <x:c r="F13" s="45" t="str">
        <x:v>נדרשת בדיקה</x:v>
      </x:c>
      <x:c r="G13" s="45" t="n">
        <x:v>3</x:v>
      </x:c>
      <x:c r="H13" s="45" t="str">
        <x:v>לא</x:v>
      </x:c>
      <x:c r="I13" s="45" t="str">
        <x:v>נוכחות + היתרים לפי הצורך</x:v>
      </x:c>
      <x:c r="J13" s="45" t="str">
        <x:v>עובדים רלוונטיים</x:v>
      </x:c>
      <x:c r="K13" s="45" t="str">
        <x:v>משך</x:v>
      </x:c>
      <x:c r="L13" s="45" t="str">
        <x:v>חוזר/מדיניות</x:v>
      </x:c>
      <x:c r="M13" s="45" t="str">
        <x:v>לבדוק היתר/חריג, גמול ומנוחה חלופית.</x:v>
      </x:c>
      <x:c r="N13" s="45" t="str">
        <x:v>בדיקת העסקה בשבת/חג</x:v>
      </x:c>
      <x:c r="O13" s="45" t="str">
        <x:v>https://www.gov.il/he/service/request-for-employment-during-weekend-or-extra-hours</x:v>
      </x:c>
      <x:c r="P13" s="45" t="str">
        <x:v>Rule+Manual</x:v>
      </x:c>
      <x:c r="Q13" s="45" t="str">
        <x:v>עצם העבודה אינה בהכרח הפרה.</x:v>
      </x:c>
    </x:row>
    <x:row r="14">
      <x:c r="A14" s="45" t="str">
        <x:v>R-TIME-006</x:v>
      </x:c>
      <x:c r="B14" s="45" t="str">
        <x:v>שעות עבודה</x:v>
      </x:c>
      <x:c r="C14" s="45" t="str">
        <x:v>הפסקה שבה העובד נשאר זמין</x:v>
      </x:c>
      <x:c r="D14" s="45" t="str">
        <x:v>TIME-15</x:v>
      </x:c>
      <x:c r="E14" s="45" t="str">
        <x:v>TIME-15=כן/תלוי</x:v>
      </x:c>
      <x:c r="F14" s="45" t="str">
        <x:v>נדרשת בדיקה</x:v>
      </x:c>
      <x:c r="G14" s="45" t="n">
        <x:v>3</x:v>
      </x:c>
      <x:c r="H14" s="45" t="str">
        <x:v>לא</x:v>
      </x:c>
      <x:c r="I14" s="45" t="str">
        <x:v>נוהל + נוכחות</x:v>
      </x:c>
      <x:c r="J14" s="45" t="str">
        <x:v>עובדים רלוונטיים</x:v>
      </x:c>
      <x:c r="K14" s="45" t="str">
        <x:v>משך</x:v>
      </x:c>
      <x:c r="L14" s="45" t="str">
        <x:v>חוזר</x:v>
      </x:c>
      <x:c r="M14" s="45" t="str">
        <x:v>לבחון האם זמן ההפסקה מהווה זמן עבודה לצורך תשלום.</x:v>
      </x:c>
      <x:c r="N14" s="45" t="str">
        <x:v>בדיקת זמני עבודה</x:v>
      </x:c>
      <x:c r="O14" s="45" t="str"/>
      <x:c r="P14" s="45" t="str">
        <x:v>Rule+Manual</x:v>
      </x:c>
      <x:c r="Q14" s="45" t="str">
        <x:v>תלוי בחובת הנוכחות וביכולת העובד לצאת.</x:v>
      </x:c>
    </x:row>
    <x:row r="15">
      <x:c r="A15" s="45" t="str">
        <x:v>R-TIME-007</x:v>
      </x:c>
      <x:c r="B15" s="45" t="str">
        <x:v>שעות עבודה</x:v>
      </x:c>
      <x:c r="C15" s="45" t="str">
        <x:v>עבודה מחוץ לשעות ללא מנגנון דיווח</x:v>
      </x:c>
      <x:c r="D15" s="45" t="str">
        <x:v>TIME-16, TIME-01</x:v>
      </x:c>
      <x:c r="E15" s="45" t="str">
        <x:v>TIME-16=כן/לעיתים AND אין מנגנון מתאים</x:v>
      </x:c>
      <x:c r="F15" s="45" t="str">
        <x:v>חשיפה אפשרית</x:v>
      </x:c>
      <x:c r="G15" s="45" t="n">
        <x:v>3</x:v>
      </x:c>
      <x:c r="H15" s="45" t="str">
        <x:v>לא</x:v>
      </x:c>
      <x:c r="I15" s="45" t="str">
        <x:v>תשובות + נוכחות + מדיניות</x:v>
      </x:c>
      <x:c r="J15" s="45" t="str">
        <x:v>עובדים רלוונטיים</x:v>
      </x:c>
      <x:c r="K15" s="45" t="str">
        <x:v>משך</x:v>
      </x:c>
      <x:c r="L15" s="45" t="str">
        <x:v>חוזר</x:v>
      </x:c>
      <x:c r="M15" s="45" t="str">
        <x:v>להסדיר זמינות, דיווח ועבודה מרחוק.</x:v>
      </x:c>
      <x:c r="N15" s="45" t="str">
        <x:v>מדיניות עבודה מרחוק</x:v>
      </x:c>
      <x:c r="O15" s="45" t="str"/>
      <x:c r="P15" s="45" t="str">
        <x:v>Rule+Manual</x:v>
      </x:c>
      <x:c r="Q15" s="45" t="str">
        <x:v>דורש בירור עובדתי; לא כל הודעה ב-WhatsApp היא זמן עבודה.</x:v>
      </x:c>
    </x:row>
    <x:row r="16">
      <x:c r="A16" s="45" t="str">
        <x:v>R-SOC-001</x:v>
      </x:c>
      <x:c r="B16" s="45" t="str">
        <x:v>זכויות סוציאליות</x:v>
      </x:c>
      <x:c r="C16" s="45" t="str">
        <x:v>הפרשות פנסיה חסרות/מעוכבות</x:v>
      </x:c>
      <x:c r="D16" s="45" t="str">
        <x:v>SOC-01</x:v>
      </x:c>
      <x:c r="E16" s="45" t="str">
        <x:v>SOC-01=יש חריגים/לא</x:v>
      </x:c>
      <x:c r="F16" s="45" t="str">
        <x:v>חשיפה גבוהה</x:v>
      </x:c>
      <x:c r="G16" s="45" t="n">
        <x:v>5</x:v>
      </x:c>
      <x:c r="H16" s="45" t="str">
        <x:v>כן</x:v>
      </x:c>
      <x:c r="I16" s="45" t="str">
        <x:v>נתוני שכר/קופות</x:v>
      </x:c>
      <x:c r="J16" s="45" t="str">
        <x:v>מספר עובדים</x:v>
      </x:c>
      <x:c r="K16" s="45" t="str">
        <x:v>משך האיחור</x:v>
      </x:c>
      <x:c r="L16" s="45" t="str">
        <x:v>חוזר/מדיניות</x:v>
      </x:c>
      <x:c r="M16" s="45" t="str">
        <x:v>בדיקת חוסרים והשלמת הפקדות בהקדם.</x:v>
      </x:c>
      <x:c r="N16" s="45" t="str">
        <x:v>בדיקת פנסיה</x:v>
      </x:c>
      <x:c r="O16" s="45" t="str"/>
      <x:c r="P16" s="45" t="str">
        <x:v>Rule+Manual</x:v>
      </x:c>
      <x:c r="Q16" s="45" t="str">
        <x:v>נדרש אימות מול חשבת השכר והסדרים החלים.</x:v>
      </x:c>
    </x:row>
    <x:row r="17">
      <x:c r="A17" s="45" t="str">
        <x:v>R-SOC-002</x:v>
      </x:c>
      <x:c r="B17" s="45" t="str">
        <x:v>זכויות סוציאליות</x:v>
      </x:c>
      <x:c r="C17" s="45" t="str">
        <x:v>אי-בדיקת קופה פעילה</x:v>
      </x:c>
      <x:c r="D17" s="45" t="str">
        <x:v>SOC-02</x:v>
      </x:c>
      <x:c r="E17" s="45" t="str">
        <x:v>SOC-02=לפעמים/לא</x:v>
      </x:c>
      <x:c r="F17" s="45" t="str">
        <x:v>חשיפה אפשרית</x:v>
      </x:c>
      <x:c r="G17" s="45" t="n">
        <x:v>3</x:v>
      </x:c>
      <x:c r="H17" s="45" t="str">
        <x:v>לא</x:v>
      </x:c>
      <x:c r="I17" s="45" t="str">
        <x:v>תהליך קליטה + חשבות שכר</x:v>
      </x:c>
      <x:c r="J17" s="45" t="str">
        <x:v>עובדים חדשים</x:v>
      </x:c>
      <x:c r="K17" s="45" t="str">
        <x:v>משך</x:v>
      </x:c>
      <x:c r="L17" s="45" t="str">
        <x:v>מדיניות</x:v>
      </x:c>
      <x:c r="M17" s="45" t="str">
        <x:v>להסדיר שאלון קליטה ומנגנון מעקב.</x:v>
      </x:c>
      <x:c r="N17" s="45" t="str">
        <x:v>נוהל פנסיה לקליטה</x:v>
      </x:c>
      <x:c r="O17" s="45" t="str"/>
      <x:c r="P17" s="45" t="str">
        <x:v>אוטומטי</x:v>
      </x:c>
      <x:c r="Q17" s="45" t="str">
        <x:v>יש לבחון לפי צו ההרחבה והנסיבות.</x:v>
      </x:c>
    </x:row>
    <x:row r="18">
      <x:c r="A18" s="45" t="str">
        <x:v>R-SOC-003</x:v>
      </x:c>
      <x:c r="B18" s="45" t="str">
        <x:v>זכויות סוציאליות</x:v>
      </x:c>
      <x:c r="C18" s="45" t="str">
        <x:v>סעיף 14 אינו מאומת</x:v>
      </x:c>
      <x:c r="D18" s="45" t="str">
        <x:v>SOC-04, SOC-05, DOC-01</x:v>
      </x:c>
      <x:c r="E18" s="45" t="str">
        <x:v>SOC-05=כן/חלק/לא יודעת</x:v>
      </x:c>
      <x:c r="F18" s="45" t="str">
        <x:v>נדרשת בדיקת מסמך</x:v>
      </x:c>
      <x:c r="G18" s="45" t="n">
        <x:v>3</x:v>
      </x:c>
      <x:c r="H18" s="45" t="str">
        <x:v>לא</x:v>
      </x:c>
      <x:c r="I18" s="45" t="str">
        <x:v>הסכם + שיעורי הפקדה</x:v>
      </x:c>
      <x:c r="J18" s="45" t="str">
        <x:v>עובדים רלוונטיים</x:v>
      </x:c>
      <x:c r="K18" s="45" t="str">
        <x:v>משך</x:v>
      </x:c>
      <x:c r="L18" s="45" t="str">
        <x:v>מדיניות</x:v>
      </x:c>
      <x:c r="M18" s="45" t="str">
        <x:v>לאמת את ההסדרה, מועד תחולתה ושיעורי ההפקדה.</x:v>
      </x:c>
      <x:c r="N18" s="45" t="str">
        <x:v>בדיקת סעיף 14</x:v>
      </x:c>
      <x:c r="O18" s="45" t="str">
        <x:v>https://www.gov.il/BlobFolder/servicequestionnaire/approval-agreement-section28-request/he/guidelines-applying-retroactively-section14.pdf</x:v>
      </x:c>
      <x:c r="P18" s="45" t="str">
        <x:v>AI+Rule</x:v>
      </x:c>
      <x:c r="Q18" s="45" t="str">
        <x:v>אין להסיק תחולה רק מאזכור 'סעיף 14' בחוזה.</x:v>
      </x:c>
    </x:row>
    <x:row r="19">
      <x:c r="A19" s="45" t="str">
        <x:v>R-PAY-001</x:v>
      </x:c>
      <x:c r="B19" s="45" t="str">
        <x:v>שכר ותגמול</x:v>
      </x:c>
      <x:c r="C19" s="45" t="str">
        <x:v>בונוס/עמלה ללא הסדרה כתובה</x:v>
      </x:c>
      <x:c r="D19" s="45" t="str">
        <x:v>PAY-01, PAY-04</x:v>
      </x:c>
      <x:c r="E19" s="45" t="str">
        <x:v>PAY-01=כן AND PAY-04=לא/חלקית</x:v>
      </x:c>
      <x:c r="F19" s="45" t="str">
        <x:v>חשיפה אפשרית</x:v>
      </x:c>
      <x:c r="G19" s="45" t="n">
        <x:v>3</x:v>
      </x:c>
      <x:c r="H19" s="45" t="str">
        <x:v>לא</x:v>
      </x:c>
      <x:c r="I19" s="45" t="str">
        <x:v>מנגנון בפועל + תלושים</x:v>
      </x:c>
      <x:c r="J19" s="45" t="str">
        <x:v>מקבלי התגמול</x:v>
      </x:c>
      <x:c r="K19" s="45" t="str">
        <x:v>משך</x:v>
      </x:c>
      <x:c r="L19" s="45" t="str">
        <x:v>חוזר</x:v>
      </x:c>
      <x:c r="M19" s="45" t="str">
        <x:v>לתעד מנגנון זכאות, חישוב וסיום.</x:v>
      </x:c>
      <x:c r="N19" s="45" t="str">
        <x:v>תכנית עמלות/בונוסים</x:v>
      </x:c>
      <x:c r="O19" s="45" t="str"/>
      <x:c r="P19" s="45" t="str">
        <x:v>Rule+Manual</x:v>
      </x:c>
      <x:c r="Q19" s="45" t="str">
        <x:v>המשמעות לזכויות סוציאליות תלויה במהות התשלום.</x:v>
      </x:c>
    </x:row>
    <x:row r="20">
      <x:c r="A20" s="45" t="str">
        <x:v>R-PAY-002</x:v>
      </x:c>
      <x:c r="B20" s="45" t="str">
        <x:v>שכר ותגמול</x:v>
      </x:c>
      <x:c r="C20" s="45" t="str">
        <x:v>אי-התאמה בין מנגנון תגמול למסמכים</x:v>
      </x:c>
      <x:c r="D20" s="45" t="str">
        <x:v>PAY-03, PAY-04, DOC-03, DOC-05</x:v>
      </x:c>
      <x:c r="E20" s="45" t="str">
        <x:v>AI מזהה סתירה בין מסמך לתלוש/תיאור</x:v>
      </x:c>
      <x:c r="F20" s="45" t="str">
        <x:v>נדרשת בדיקה</x:v>
      </x:c>
      <x:c r="G20" s="45" t="n">
        <x:v>4</x:v>
      </x:c>
      <x:c r="H20" s="45" t="str">
        <x:v>לא</x:v>
      </x:c>
      <x:c r="I20" s="45" t="str">
        <x:v>מסמך + תלוש</x:v>
      </x:c>
      <x:c r="J20" s="45" t="str">
        <x:v>מקבלי התגמול</x:v>
      </x:c>
      <x:c r="K20" s="45" t="str">
        <x:v>משך</x:v>
      </x:c>
      <x:c r="L20" s="45" t="str">
        <x:v>חוזר</x:v>
      </x:c>
      <x:c r="M20" s="45" t="str">
        <x:v>לבחון הפרשים ותנאי זכאות.</x:v>
      </x:c>
      <x:c r="N20" s="45" t="str">
        <x:v>בדיקת תכנית תגמול</x:v>
      </x:c>
      <x:c r="O20" s="45" t="str"/>
      <x:c r="P20" s="45" t="str">
        <x:v>AI</x:v>
      </x:c>
      <x:c r="Q20" s="45" t="str">
        <x:v>לא לקבוע סיווג בונוס/עמלה ללא בדיקה משפטית.</x:v>
      </x:c>
    </x:row>
    <x:row r="21">
      <x:c r="A21" s="45" t="str">
        <x:v>R-TERM-001</x:v>
      </x:c>
      <x:c r="B21" s="45" t="str">
        <x:v>סיום העסקה</x:v>
      </x:c>
      <x:c r="C21" s="45" t="str">
        <x:v>אין זימון שימוע בכתב</x:v>
      </x:c>
      <x:c r="D21" s="45" t="str">
        <x:v>TERM-01, TERM-02</x:v>
      </x:c>
      <x:c r="E21" s="45" t="str">
        <x:v>TERM-01=כן AND TERM-02=לפעמים/לא</x:v>
      </x:c>
      <x:c r="F21" s="45" t="str">
        <x:v>חשיפה אפשרית</x:v>
      </x:c>
      <x:c r="G21" s="45" t="n">
        <x:v>4</x:v>
      </x:c>
      <x:c r="H21" s="45" t="str">
        <x:v>לא</x:v>
      </x:c>
      <x:c r="I21" s="45" t="str">
        <x:v>מסמכי סיום</x:v>
      </x:c>
      <x:c r="J21" s="45" t="str">
        <x:v>מספר מפוטרים</x:v>
      </x:c>
      <x:c r="K21" s="45" t="str">
        <x:v>שנתיים אחרונות</x:v>
      </x:c>
      <x:c r="L21" s="45" t="str">
        <x:v>חוזר</x:v>
      </x:c>
      <x:c r="M21" s="45" t="str">
        <x:v>לשפר נוהל שימוע ולבדוק אירועים פתוחים.</x:v>
      </x:c>
      <x:c r="N21" s="45" t="str">
        <x:v>נוהל שימוע</x:v>
      </x:c>
      <x:c r="O21" s="45" t="str"/>
      <x:c r="P21" s="45" t="str">
        <x:v>אוטומטי</x:v>
      </x:c>
      <x:c r="Q21" s="45" t="str">
        <x:v>היעדר כתב הוא אינדיקציה חזקה אך יש לבחון ההליך כולו.</x:v>
      </x:c>
    </x:row>
    <x:row r="22">
      <x:c r="A22" s="45" t="str">
        <x:v>R-TERM-002</x:v>
      </x:c>
      <x:c r="B22" s="45" t="str">
        <x:v>סיום העסקה</x:v>
      </x:c>
      <x:c r="C22" s="45" t="str">
        <x:v>זימון ללא נימוקים</x:v>
      </x:c>
      <x:c r="D22" s="45" t="str">
        <x:v>TERM-03</x:v>
      </x:c>
      <x:c r="E22" s="45" t="str">
        <x:v>TERM-03=לפעמים/לא</x:v>
      </x:c>
      <x:c r="F22" s="45" t="str">
        <x:v>חשיפה אפשרית</x:v>
      </x:c>
      <x:c r="G22" s="45" t="n">
        <x:v>4</x:v>
      </x:c>
      <x:c r="H22" s="45" t="str">
        <x:v>לא</x:v>
      </x:c>
      <x:c r="I22" s="45" t="str">
        <x:v>זימונים לדוגמה</x:v>
      </x:c>
      <x:c r="J22" s="45" t="str">
        <x:v>מספר מפוטרים</x:v>
      </x:c>
      <x:c r="K22" s="45" t="str">
        <x:v>שנתיים</x:v>
      </x:c>
      <x:c r="L22" s="45" t="str">
        <x:v>חוזר</x:v>
      </x:c>
      <x:c r="M22" s="45" t="str">
        <x:v>לעדכן תבניות זימון ולהבטיח פירוט מספק.</x:v>
      </x:c>
      <x:c r="N22" s="45" t="str">
        <x:v>ליווי שימועים</x:v>
      </x:c>
      <x:c r="O22" s="45" t="str"/>
      <x:c r="P22" s="45" t="str">
        <x:v>אוטומטי</x:v>
      </x:c>
      <x:c r="Q22" s="45" t="str">
        <x:v>יש לבחון את רמת הפירוט בפועל.</x:v>
      </x:c>
    </x:row>
    <x:row r="23">
      <x:c r="A23" s="45" t="str">
        <x:v>R-TERM-003</x:v>
      </x:c>
      <x:c r="B23" s="45" t="str">
        <x:v>סיום העסקה</x:v>
      </x:c>
      <x:c r="C23" s="45" t="str">
        <x:v>אין תיעוד שימוע</x:v>
      </x:c>
      <x:c r="D23" s="45" t="str">
        <x:v>TERM-04</x:v>
      </x:c>
      <x:c r="E23" s="45" t="str">
        <x:v>TERM-04=לפעמים/לא</x:v>
      </x:c>
      <x:c r="F23" s="45" t="str">
        <x:v>פער ראייתי</x:v>
      </x:c>
      <x:c r="G23" s="45" t="n">
        <x:v>2</x:v>
      </x:c>
      <x:c r="H23" s="45" t="str">
        <x:v>לא</x:v>
      </x:c>
      <x:c r="I23" s="45" t="str">
        <x:v>תיקי סיום</x:v>
      </x:c>
      <x:c r="J23" s="45" t="str">
        <x:v>מספר מפוטרים</x:v>
      </x:c>
      <x:c r="K23" s="45" t="str">
        <x:v>שנתיים</x:v>
      </x:c>
      <x:c r="L23" s="45" t="str">
        <x:v>חוזר</x:v>
      </x:c>
      <x:c r="M23" s="45" t="str">
        <x:v>ליצור מנגנון פרוטוקול/תיעוד.</x:v>
      </x:c>
      <x:c r="N23" s="45" t="str">
        <x:v>נוהל שימוע</x:v>
      </x:c>
      <x:c r="O23" s="45" t="str"/>
      <x:c r="P23" s="45" t="str">
        <x:v>אוטומטי</x:v>
      </x:c>
      <x:c r="Q23" s="45" t="str">
        <x:v>לא כל העדר פרוטוקול כשלעצמו מבטל הליך, אך הוא יוצר סיכון ראייתי.</x:v>
      </x:c>
    </x:row>
    <x:row r="24">
      <x:c r="A24" s="45" t="str">
        <x:v>R-TERM-004</x:v>
      </x:c>
      <x:c r="B24" s="45" t="str">
        <x:v>סיום העסקה</x:v>
      </x:c>
      <x:c r="C24" s="45" t="str">
        <x:v>החלטה מתקבלת לפני השימוע</x:v>
      </x:c>
      <x:c r="D24" s="45" t="str">
        <x:v>TERM-05</x:v>
      </x:c>
      <x:c r="E24" s="45" t="str">
        <x:v>TERM-05=לפני השימוע</x:v>
      </x:c>
      <x:c r="F24" s="45" t="str">
        <x:v>חשיפה גבוהה</x:v>
      </x:c>
      <x:c r="G24" s="45" t="n">
        <x:v>5</x:v>
      </x:c>
      <x:c r="H24" s="45" t="str">
        <x:v>כן</x:v>
      </x:c>
      <x:c r="I24" s="45" t="str">
        <x:v>מסמכים + ציר זמן</x:v>
      </x:c>
      <x:c r="J24" s="45" t="str">
        <x:v>כל המקרים שבהם זו הפרקטיקה</x:v>
      </x:c>
      <x:c r="K24" s="45" t="str">
        <x:v>שנתיים</x:v>
      </x:c>
      <x:c r="L24" s="45" t="str">
        <x:v>מדיניות</x:v>
      </x:c>
      <x:c r="M24" s="45" t="str">
        <x:v>עצירת הפרקטיקה ובדיקת תבניות ותהליכים מיידית.</x:v>
      </x:c>
      <x:c r="N24" s="45" t="str">
        <x:v>ליווי שימועים</x:v>
      </x:c>
      <x:c r="O24" s="45" t="str"/>
      <x:c r="P24" s="45" t="str">
        <x:v>אוטומטי</x:v>
      </x:c>
      <x:c r="Q24" s="45" t="str">
        <x:v>Override קריטי בשל פגיעה אפשרית בליבת זכות הטיעון.</x:v>
      </x:c>
    </x:row>
    <x:row r="25">
      <x:c r="A25" s="45" t="str">
        <x:v>R-TERM-005</x:v>
      </x:c>
      <x:c r="B25" s="45" t="str">
        <x:v>סיום העסקה</x:v>
      </x:c>
      <x:c r="C25" s="45" t="str">
        <x:v>כוונת סיום + נסיבה מוגנת</x:v>
      </x:c>
      <x:c r="D25" s="45" t="str">
        <x:v>TERM-06, TERM-07</x:v>
      </x:c>
      <x:c r="E25" s="45" t="str">
        <x:v>TERM-06=כן AND TERM-07=כן/לא יודעת</x:v>
      </x:c>
      <x:c r="F25" s="45" t="str">
        <x:v>בדיקה מיידית</x:v>
      </x:c>
      <x:c r="G25" s="45" t="n">
        <x:v>5</x:v>
      </x:c>
      <x:c r="H25" s="45" t="str">
        <x:v>כן</x:v>
      </x:c>
      <x:c r="I25" s="45" t="str">
        <x:v>פרטי נסיבה מינימליים + ותק + סטטוס</x:v>
      </x:c>
      <x:c r="J25" s="45" t="str">
        <x:v>עובד ספציפי</x:v>
      </x:c>
      <x:c r="K25" s="45" t="str">
        <x:v>נוכחי</x:v>
      </x:c>
      <x:c r="L25" s="45" t="str">
        <x:v>נקודתי</x:v>
      </x:c>
      <x:c r="M25" s="45" t="str">
        <x:v>אין לבצע שינוי לפני בדיקה משפטית פרטנית.</x:v>
      </x:c>
      <x:c r="N25" s="45" t="str">
        <x:v>ייעוץ לפני פיטורים</x:v>
      </x:c>
      <x:c r="O25" s="45" t="str">
        <x:v>https://www.gov.il/he/service/workers-dismissal-due-to-women-employment-law</x:v>
      </x:c>
      <x:c r="P25" s="45" t="str">
        <x:v>אוטומטי+Manual</x:v>
      </x:c>
      <x:c r="Q25" s="45" t="str">
        <x:v>אין לבקש מידע רפואי מעבר לנדרש.</x:v>
      </x:c>
    </x:row>
    <x:row r="26">
      <x:c r="A26" s="45" t="str">
        <x:v>R-HR-001</x:v>
      </x:c>
      <x:c r="B26" s="45" t="str">
        <x:v>דיני עבודה</x:v>
      </x:c>
      <x:c r="C26" s="45" t="str">
        <x:v>אין אחראי/ת למניעת הטרדה מינית</x:v>
      </x:c>
      <x:c r="D26" s="45" t="str">
        <x:v>HR-02</x:v>
      </x:c>
      <x:c r="E26" s="45" t="str">
        <x:v>HR-02=לא/לא יודעת</x:v>
      </x:c>
      <x:c r="F26" s="45" t="str">
        <x:v>חשיפה אפשרית</x:v>
      </x:c>
      <x:c r="G26" s="45" t="n">
        <x:v>3</x:v>
      </x:c>
      <x:c r="H26" s="45" t="str">
        <x:v>לא</x:v>
      </x:c>
      <x:c r="I26" s="45" t="str">
        <x:v>תשובת לקוח + מסמכי מינוי</x:v>
      </x:c>
      <x:c r="J26" s="45" t="str">
        <x:v>כלל העובדים</x:v>
      </x:c>
      <x:c r="K26" s="45" t="str">
        <x:v>משך</x:v>
      </x:c>
      <x:c r="L26" s="45" t="str">
        <x:v>מדיניות</x:v>
      </x:c>
      <x:c r="M26" s="45" t="str">
        <x:v>למנות אחראי/ת ולהסדיר דרכי פנייה.</x:v>
      </x:c>
      <x:c r="N26" s="45" t="str">
        <x:v>הסדרת מניעת הטרדה מינית</x:v>
      </x:c>
      <x:c r="O26" s="45" t="str"/>
      <x:c r="P26" s="45" t="str">
        <x:v>אוטומטי</x:v>
      </x:c>
      <x:c r="Q26" s="45" t="str">
        <x:v>יש לבדוק את חובות המעסיק בהתאם לגודל ולנסיבות.</x:v>
      </x:c>
    </x:row>
    <x:row r="27">
      <x:c r="A27" s="45" t="str">
        <x:v>R-HR-002</x:v>
      </x:c>
      <x:c r="B27" s="45" t="str">
        <x:v>דיני עבודה</x:v>
      </x:c>
      <x:c r="C27" s="45" t="str">
        <x:v>מעל 25 עובדים ללא תקנון מותאם/מפורסם</x:v>
      </x:c>
      <x:c r="D27" s="45" t="str">
        <x:v>GEN-04, HR-04</x:v>
      </x:c>
      <x:c r="E27" s="45" t="str">
        <x:v>GEN-04&gt;25 AND HR-04=לא/לא יודעת</x:v>
      </x:c>
      <x:c r="F27" s="45" t="str">
        <x:v>חשיפה ברורה</x:v>
      </x:c>
      <x:c r="G27" s="45" t="n">
        <x:v>4</x:v>
      </x:c>
      <x:c r="H27" s="45" t="str">
        <x:v>לא</x:v>
      </x:c>
      <x:c r="I27" s="45" t="str">
        <x:v>תקנון/הוכחת פרסום</x:v>
      </x:c>
      <x:c r="J27" s="45" t="str">
        <x:v>כלל העובדים</x:v>
      </x:c>
      <x:c r="K27" s="45" t="str">
        <x:v>משך</x:v>
      </x:c>
      <x:c r="L27" s="45" t="str">
        <x:v>מדיניות</x:v>
      </x:c>
      <x:c r="M27" s="45" t="str">
        <x:v>להכין ולהפיץ תקנון מותאם.</x:v>
      </x:c>
      <x:c r="N27" s="45" t="str">
        <x:v>תקנון הטרדה מינית</x:v>
      </x:c>
      <x:c r="O27" s="45" t="str">
        <x:v>https://main.knesset.gov.il/News/PressReleases/pages/press01.05.18d.aspx</x:v>
      </x:c>
      <x:c r="P27" s="45" t="str">
        <x:v>אוטומטי</x:v>
      </x:c>
      <x:c r="Q27" s="45" t="str">
        <x:v>לבדוק גם מינוי אחראי/ת והנגשה.</x:v>
      </x:c>
    </x:row>
    <x:row r="28">
      <x:c r="A28" s="45" t="str">
        <x:v>R-LIT-001</x:v>
      </x:c>
      <x:c r="B28" s="45" t="str">
        <x:v>דיני עבודה</x:v>
      </x:c>
      <x:c r="C28" s="45" t="str">
        <x:v>הליכים קודמים</x:v>
      </x:c>
      <x:c r="D28" s="45" t="str">
        <x:v>LIT-01, LIT-02</x:v>
      </x:c>
      <x:c r="E28" s="45" t="str">
        <x:v>LIT-01=כן</x:v>
      </x:c>
      <x:c r="F28" s="45" t="str">
        <x:v>אינדיקציית רקע</x:v>
      </x:c>
      <x:c r="G28" s="45" t="n">
        <x:v>1</x:v>
      </x:c>
      <x:c r="H28" s="45" t="str">
        <x:v>לא</x:v>
      </x:c>
      <x:c r="I28" s="45" t="str">
        <x:v>מספרי הליך/מסמכים</x:v>
      </x:c>
      <x:c r="J28" s="45" t="str">
        <x:v>לא חל</x:v>
      </x:c>
      <x:c r="K28" s="45" t="str">
        <x:v>5 שנים</x:v>
      </x:c>
      <x:c r="L28" s="45" t="str">
        <x:v>חוזר אם אותו נושא</x:v>
      </x:c>
      <x:c r="M28" s="45" t="str">
        <x:v>לזהות דפוסים חוזרים ולהפיק Lessons Learned.</x:v>
      </x:c>
      <x:c r="N28" s="45" t="str">
        <x:v>בדיקת הליכים קודמים</x:v>
      </x:c>
      <x:c r="O28" s="45" t="str"/>
      <x:c r="P28" s="45" t="str">
        <x:v>Manual</x:v>
      </x:c>
      <x:c r="Q28" s="45" t="str">
        <x:v>אינו 'הפרה' בפני עצמו ולא אמור להעלות חומרה מהותית לבדו.</x:v>
      </x:c>
    </x:row>
    <x:row r="29">
      <x:c r="A29" s="45" t="str">
        <x:v>R-PRIV-001</x:v>
      </x:c>
      <x:c r="B29" s="45" t="str">
        <x:v>פרטיות</x:v>
      </x:c>
      <x:c r="C29" s="45" t="str">
        <x:v>אין/חסר יידוע עובדים</x:v>
      </x:c>
      <x:c r="D29" s="45" t="str">
        <x:v>PRIV-03, DOC-07</x:v>
      </x:c>
      <x:c r="E29" s="45" t="str">
        <x:v>PRIV-03=לא/חלקי OR מסמך חסר רכיבי יידוע</x:v>
      </x:c>
      <x:c r="F29" s="45" t="str">
        <x:v>חשיפה אפשרית</x:v>
      </x:c>
      <x:c r="G29" s="45" t="n">
        <x:v>4</x:v>
      </x:c>
      <x:c r="H29" s="45" t="str">
        <x:v>לא</x:v>
      </x:c>
      <x:c r="I29" s="45" t="str">
        <x:v>מסמך יידוע + תהליכי איסוף</x:v>
      </x:c>
      <x:c r="J29" s="45" t="str">
        <x:v>כלל העובדים/קבוצות</x:v>
      </x:c>
      <x:c r="K29" s="45" t="str">
        <x:v>משך</x:v>
      </x:c>
      <x:c r="L29" s="45" t="str">
        <x:v>מדיניות</x:v>
      </x:c>
      <x:c r="M29" s="45" t="str">
        <x:v>להכין/לעדכן הודעת פרטיות לעובדים.</x:v>
      </x:c>
      <x:c r="N29" s="45" t="str">
        <x:v>Employee Privacy Notice</x:v>
      </x:c>
      <x:c r="O29" s="45" t="str">
        <x:v>https://www.gov.il/he/pages/tikun13_qa?chapterIndex=6</x:v>
      </x:c>
      <x:c r="P29" s="45" t="str">
        <x:v>AI+Rule</x:v>
      </x:c>
      <x:c r="Q29" s="45" t="str">
        <x:v>יש להתאים את היידוע לסוגי המידע, מטרות והעברות בפועל.</x:v>
      </x:c>
    </x:row>
    <x:row r="30">
      <x:c r="A30" s="45" t="str">
        <x:v>R-PRIV-002</x:v>
      </x:c>
      <x:c r="B30" s="45" t="str">
        <x:v>פרטיות</x:v>
      </x:c>
      <x:c r="C30" s="45" t="str">
        <x:v>גישה רחבה למידע עובדים</x:v>
      </x:c>
      <x:c r="D30" s="45" t="str">
        <x:v>PRIV-04</x:v>
      </x:c>
      <x:c r="E30" s="45" t="str">
        <x:v>גישה כוללת מנהלים/עובדים ללא צורך תפקידי ברור</x:v>
      </x:c>
      <x:c r="F30" s="45" t="str">
        <x:v>נדרשת בדיקה</x:v>
      </x:c>
      <x:c r="G30" s="45" t="n">
        <x:v>3</x:v>
      </x:c>
      <x:c r="H30" s="45" t="str">
        <x:v>לא</x:v>
      </x:c>
      <x:c r="I30" s="45" t="str">
        <x:v>מטריצת הרשאות</x:v>
      </x:c>
      <x:c r="J30" s="45" t="str">
        <x:v>מספר בעלי הרשאה</x:v>
      </x:c>
      <x:c r="K30" s="45" t="str">
        <x:v>משך</x:v>
      </x:c>
      <x:c r="L30" s="45" t="str">
        <x:v>מדיניות</x:v>
      </x:c>
      <x:c r="M30" s="45" t="str">
        <x:v>לבנות Role-Based Access ולצמצם הרשאות.</x:v>
      </x:c>
      <x:c r="N30" s="45" t="str">
        <x:v>מיפוי הרשאות</x:v>
      </x:c>
      <x:c r="O30" s="45" t="str"/>
      <x:c r="P30" s="45" t="str">
        <x:v>Manual</x:v>
      </x:c>
      <x:c r="Q30" s="45" t="str">
        <x:v>אין לקבוע עודפות רק מתפקיד כללי; נדרש להבין צורך תפקידי.</x:v>
      </x:c>
    </x:row>
    <x:row r="31">
      <x:c r="A31" s="45" t="str">
        <x:v>R-PRIV-003</x:v>
      </x:c>
      <x:c r="B31" s="45" t="str">
        <x:v>פרטיות</x:v>
      </x:c>
      <x:c r="C31" s="45" t="str">
        <x:v>חשבונות משתמש משותפים</x:v>
      </x:c>
      <x:c r="D31" s="45" t="str">
        <x:v>PRIV-05</x:v>
      </x:c>
      <x:c r="E31" s="45" t="str">
        <x:v>PRIV-05=כן</x:v>
      </x:c>
      <x:c r="F31" s="45" t="str">
        <x:v>חשיפה אבטחת מידע</x:v>
      </x:c>
      <x:c r="G31" s="45" t="n">
        <x:v>4</x:v>
      </x:c>
      <x:c r="H31" s="45" t="str">
        <x:v>לא</x:v>
      </x:c>
      <x:c r="I31" s="45" t="str">
        <x:v>רשימת חשבונות/מערכות</x:v>
      </x:c>
      <x:c r="J31" s="45" t="str">
        <x:v>מערכות מושפעות</x:v>
      </x:c>
      <x:c r="K31" s="45" t="str">
        <x:v>משך</x:v>
      </x:c>
      <x:c r="L31" s="45" t="str">
        <x:v>מדיניות</x:v>
      </x:c>
      <x:c r="M31" s="45" t="str">
        <x:v>לבטל חשבונות משותפים ולנהל זיהוי והרשאות אישיות.</x:v>
      </x:c>
      <x:c r="N31" s="45" t="str">
        <x:v>אבטחת מידע והרשאות</x:v>
      </x:c>
      <x:c r="O31" s="45" t="str"/>
      <x:c r="P31" s="45" t="str">
        <x:v>אוטומטי</x:v>
      </x:c>
      <x:c r="Q31" s="45" t="str">
        <x:v>יש לבחון את רמת האבטחה והמערכות הרלוונטיות.</x:v>
      </x:c>
    </x:row>
    <x:row r="32">
      <x:c r="A32" s="45" t="str">
        <x:v>R-PRIV-004</x:v>
      </x:c>
      <x:c r="B32" s="45" t="str">
        <x:v>פרטיות</x:v>
      </x:c>
      <x:c r="C32" s="45" t="str">
        <x:v>ספקים עם גישה ללא הסדרה</x:v>
      </x:c>
      <x:c r="D32" s="45" t="str">
        <x:v>PRIV-06, PRIV-07</x:v>
      </x:c>
      <x:c r="E32" s="45" t="str">
        <x:v>PRIV-06≠אין AND PRIV-07=חלקם/לא/לא יודעת</x:v>
      </x:c>
      <x:c r="F32" s="45" t="str">
        <x:v>חשיפה אפשרית</x:v>
      </x:c>
      <x:c r="G32" s="45" t="n">
        <x:v>4</x:v>
      </x:c>
      <x:c r="H32" s="45" t="str">
        <x:v>לא</x:v>
      </x:c>
      <x:c r="I32" s="45" t="str">
        <x:v>הסכמים עם ספקים</x:v>
      </x:c>
      <x:c r="J32" s="45" t="str">
        <x:v>מספר ספקים/מערכות</x:v>
      </x:c>
      <x:c r="K32" s="45" t="str">
        <x:v>משך</x:v>
      </x:c>
      <x:c r="L32" s="45" t="str">
        <x:v>מדיניות</x:v>
      </x:c>
      <x:c r="M32" s="45" t="str">
        <x:v>להסדיר התקשרויות פרטיות ואבטחת מידע.</x:v>
      </x:c>
      <x:c r="N32" s="45" t="str">
        <x:v>נספחי פרטיות/עיבוד</x:v>
      </x:c>
      <x:c r="O32" s="45" t="str"/>
      <x:c r="P32" s="45" t="str">
        <x:v>אוטומטי</x:v>
      </x:c>
      <x:c r="Q32" s="45" t="str">
        <x:v>יש לזהות תפקיד משפטי של כל ספק והוראות התקנות.</x:v>
      </x:c>
    </x:row>
    <x:row r="33">
      <x:c r="A33" s="45" t="str">
        <x:v>R-CAM-001</x:v>
      </x:c>
      <x:c r="B33" s="45" t="str">
        <x:v>פרטיות</x:v>
      </x:c>
      <x:c r="C33" s="45" t="str">
        <x:v>מצלמה בחדר הלבשה</x:v>
      </x:c>
      <x:c r="D33" s="45" t="str">
        <x:v>PRIV-09</x:v>
      </x:c>
      <x:c r="E33" s="45" t="str">
        <x:v>PRIV-09 כולל חדר הלבשה</x:v>
      </x:c>
      <x:c r="F33" s="45" t="str">
        <x:v>בדיקה מיידית</x:v>
      </x:c>
      <x:c r="G33" s="45" t="n">
        <x:v>5</x:v>
      </x:c>
      <x:c r="H33" s="45" t="str">
        <x:v>כן</x:v>
      </x:c>
      <x:c r="I33" s="45" t="str">
        <x:v>מיקום/תצלום/מפת מצלמות</x:v>
      </x:c>
      <x:c r="J33" s="45" t="str">
        <x:v>עובדים חשופים</x:v>
      </x:c>
      <x:c r="K33" s="45" t="str">
        <x:v>משך</x:v>
      </x:c>
      <x:c r="L33" s="45" t="str">
        <x:v>מדיניות</x:v>
      </x:c>
      <x:c r="M33" s="45" t="str">
        <x:v>בדיקה מיידית של עצם הצילום והפסקת חשיפה עד בירור.</x:v>
      </x:c>
      <x:c r="N33" s="45" t="str">
        <x:v>בדיקת מצלמות</x:v>
      </x:c>
      <x:c r="O33" s="45" t="str">
        <x:v>https://www.gov.il/blobfolder/policy/workplace_camera/he/3-17_0.pdf</x:v>
      </x:c>
      <x:c r="P33" s="45" t="str">
        <x:v>אוטומטי+Manual</x:v>
      </x:c>
      <x:c r="Q33" s="45" t="str">
        <x:v>דגל חריף; לא לקבוע מסקנה סופית ללא נסיבות, אך יש לתעדף מיידית.</x:v>
      </x:c>
    </x:row>
    <x:row r="34">
      <x:c r="A34" s="45" t="str">
        <x:v>R-CAM-002</x:v>
      </x:c>
      <x:c r="B34" s="45" t="str">
        <x:v>פרטיות</x:v>
      </x:c>
      <x:c r="C34" s="45" t="str">
        <x:v>מצלמות ללא יידוע</x:v>
      </x:c>
      <x:c r="D34" s="45" t="str">
        <x:v>PRIV-08, PRIV-11</x:v>
      </x:c>
      <x:c r="E34" s="45" t="str">
        <x:v>PRIV-08=כן AND PRIV-11=לא/חלקי</x:v>
      </x:c>
      <x:c r="F34" s="45" t="str">
        <x:v>חשיפה גבוהה</x:v>
      </x:c>
      <x:c r="G34" s="45" t="n">
        <x:v>5</x:v>
      </x:c>
      <x:c r="H34" s="45" t="str">
        <x:v>כן</x:v>
      </x:c>
      <x:c r="I34" s="45" t="str">
        <x:v>מדיניות/הודעה</x:v>
      </x:c>
      <x:c r="J34" s="45" t="str">
        <x:v>כלל העובדים המצולמים</x:v>
      </x:c>
      <x:c r="K34" s="45" t="str">
        <x:v>משך</x:v>
      </x:c>
      <x:c r="L34" s="45" t="str">
        <x:v>מדיניות</x:v>
      </x:c>
      <x:c r="M34" s="45" t="str">
        <x:v>להסדיר שקיפות, מטרה ומידתיות.</x:v>
      </x:c>
      <x:c r="N34" s="45" t="str">
        <x:v>בדיקת מצלמות</x:v>
      </x:c>
      <x:c r="O34" s="45" t="str">
        <x:v>https://www.gov.il/blobfolder/policy/workplace_camera/he/3-17_0.pdf</x:v>
      </x:c>
      <x:c r="P34" s="45" t="str">
        <x:v>אוטומטי</x:v>
      </x:c>
      <x:c r="Q34" s="45" t="str">
        <x:v>הנחיית הרשות מדגישה שקיפות ומידתיות ביחסי עבודה.</x:v>
      </x:c>
    </x:row>
    <x:row r="35">
      <x:c r="A35" s="45" t="str">
        <x:v>R-CAM-003</x:v>
      </x:c>
      <x:c r="B35" s="45" t="str">
        <x:v>פרטיות</x:v>
      </x:c>
      <x:c r="C35" s="45" t="str">
        <x:v>מצלמות ללא שילוט</x:v>
      </x:c>
      <x:c r="D35" s="45" t="str">
        <x:v>PRIV-12</x:v>
      </x:c>
      <x:c r="E35" s="45" t="str">
        <x:v>PRIV-12=לא/חלק</x:v>
      </x:c>
      <x:c r="F35" s="45" t="str">
        <x:v>פער ציות</x:v>
      </x:c>
      <x:c r="G35" s="45" t="n">
        <x:v>3</x:v>
      </x:c>
      <x:c r="H35" s="45" t="str">
        <x:v>לא</x:v>
      </x:c>
      <x:c r="I35" s="45" t="str">
        <x:v>מפת שילוט</x:v>
      </x:c>
      <x:c r="J35" s="45" t="str">
        <x:v>אזורים מצולמים</x:v>
      </x:c>
      <x:c r="K35" s="45" t="str">
        <x:v>משך</x:v>
      </x:c>
      <x:c r="L35" s="45" t="str">
        <x:v>מדיניות</x:v>
      </x:c>
      <x:c r="M35" s="45" t="str">
        <x:v>להשלים שילוט כחלק ממכלול השקיפות.</x:v>
      </x:c>
      <x:c r="N35" s="45" t="str">
        <x:v>בדיקת מצלמות</x:v>
      </x:c>
      <x:c r="O35" s="45" t="str">
        <x:v>https://www.gov.il/blobfolder/policy/workplace_camera/he/3-17_0.pdf</x:v>
      </x:c>
      <x:c r="P35" s="45" t="str">
        <x:v>אוטומטי</x:v>
      </x:c>
      <x:c r="Q35" s="45" t="str">
        <x:v>השילוט אינו מחליף יידוע עובדים.</x:v>
      </x:c>
    </x:row>
    <x:row r="36">
      <x:c r="A36" s="45" t="str">
        <x:v>R-CAM-004</x:v>
      </x:c>
      <x:c r="B36" s="45" t="str">
        <x:v>פרטיות</x:v>
      </x:c>
      <x:c r="C36" s="45" t="str">
        <x:v>הקלטת קול במצלמות</x:v>
      </x:c>
      <x:c r="D36" s="45" t="str">
        <x:v>PRIV-13</x:v>
      </x:c>
      <x:c r="E36" s="45" t="str">
        <x:v>PRIV-13=כן/לא יודעת</x:v>
      </x:c>
      <x:c r="F36" s="45" t="str">
        <x:v>בדיקה מיידית</x:v>
      </x:c>
      <x:c r="G36" s="45" t="n">
        <x:v>5</x:v>
      </x:c>
      <x:c r="H36" s="45" t="str">
        <x:v>כן</x:v>
      </x:c>
      <x:c r="I36" s="45" t="str">
        <x:v>מפרט מערכת/ספק</x:v>
      </x:c>
      <x:c r="J36" s="45" t="str">
        <x:v>כלל המצולמים</x:v>
      </x:c>
      <x:c r="K36" s="45" t="str">
        <x:v>משך</x:v>
      </x:c>
      <x:c r="L36" s="45" t="str">
        <x:v>מדיניות</x:v>
      </x:c>
      <x:c r="M36" s="45" t="str">
        <x:v>בדיקה משפטית נפרדת ומיידית של ההקלטה.</x:v>
      </x:c>
      <x:c r="N36" s="45" t="str">
        <x:v>בדיקת מצלמות והקלטה</x:v>
      </x:c>
      <x:c r="O36" s="45" t="str">
        <x:v>https://www.gov.il/blobfolder/policy/workplace_camera/he/3-17_0.pdf</x:v>
      </x:c>
      <x:c r="P36" s="45" t="str">
        <x:v>אוטומטי+Manual</x:v>
      </x:c>
      <x:c r="Q36" s="45" t="str">
        <x:v>עשויות להתעורר גם סוגיות לפי דינים נוספים; אין להסתפק בדיני פרטיות.</x:v>
      </x:c>
    </x:row>
    <x:row r="37">
      <x:c r="A37" s="45" t="str">
        <x:v>R-CAM-005</x:v>
      </x:c>
      <x:c r="B37" s="45" t="str">
        <x:v>פרטיות</x:v>
      </x:c>
      <x:c r="C37" s="45" t="str">
        <x:v>שימוש בצילום לפיקוח/משמעת</x:v>
      </x:c>
      <x:c r="D37" s="45" t="str">
        <x:v>PRIV-10, PRIV-16</x:v>
      </x:c>
      <x:c r="E37" s="45" t="str">
        <x:v>PRIV-16=כן/לעיתים</x:v>
      </x:c>
      <x:c r="F37" s="45" t="str">
        <x:v>נדרשת בדיקת מטרה</x:v>
      </x:c>
      <x:c r="G37" s="45" t="n">
        <x:v>4</x:v>
      </x:c>
      <x:c r="H37" s="45" t="str">
        <x:v>לא</x:v>
      </x:c>
      <x:c r="I37" s="45" t="str">
        <x:v>מדיניות + הודעה לעובדים</x:v>
      </x:c>
      <x:c r="J37" s="45" t="str">
        <x:v>עובדים מצולמים</x:v>
      </x:c>
      <x:c r="K37" s="45" t="str">
        <x:v>משך</x:v>
      </x:c>
      <x:c r="L37" s="45" t="str">
        <x:v>חוזר</x:v>
      </x:c>
      <x:c r="M37" s="45" t="str">
        <x:v>להשוות בין המטרה שהוגדרה לבין השימוש בפועל.</x:v>
      </x:c>
      <x:c r="N37" s="45" t="str">
        <x:v>בדיקת מצלמות</x:v>
      </x:c>
      <x:c r="O37" s="45" t="str">
        <x:v>https://www.gov.il/blobfolder/policy/workplace_camera/he/3-17_0.pdf</x:v>
      </x:c>
      <x:c r="P37" s="45" t="str">
        <x:v>Rule+Manual</x:v>
      </x:c>
      <x:c r="Q37" s="45" t="str">
        <x:v>שימוש משני עשוי להיות בעייתי במיוחד אם לא הוגדר מראש.</x:v>
      </x:c>
    </x:row>
    <x:row r="38">
      <x:c r="A38" s="45" t="str">
        <x:v>R-CAM-006</x:v>
      </x:c>
      <x:c r="B38" s="45" t="str">
        <x:v>פרטיות</x:v>
      </x:c>
      <x:c r="C38" s="45" t="str">
        <x:v>שמירת צילומים ממושכת/לא ידועה</x:v>
      </x:c>
      <x:c r="D38" s="45" t="str">
        <x:v>PRIV-15</x:v>
      </x:c>
      <x:c r="E38" s="45" t="str">
        <x:v>PRIV-15=&gt;90 ימים/ללא מגבלה/לא יודעת</x:v>
      </x:c>
      <x:c r="F38" s="45" t="str">
        <x:v>נדרשת בדיקת מידתיות</x:v>
      </x:c>
      <x:c r="G38" s="45" t="n">
        <x:v>3</x:v>
      </x:c>
      <x:c r="H38" s="45" t="str">
        <x:v>לא</x:v>
      </x:c>
      <x:c r="I38" s="45" t="str">
        <x:v>הגדרות מערכת</x:v>
      </x:c>
      <x:c r="J38" s="45" t="str">
        <x:v>כלל הצילומים</x:v>
      </x:c>
      <x:c r="K38" s="45" t="str">
        <x:v>משך</x:v>
      </x:c>
      <x:c r="L38" s="45" t="str">
        <x:v>מדיניות</x:v>
      </x:c>
      <x:c r="M38" s="45" t="str">
        <x:v>לקבוע תקופת שמירה התואמת למטרה ולצמצם עודף.</x:v>
      </x:c>
      <x:c r="N38" s="45" t="str">
        <x:v>מדיניות שמירת מידע</x:v>
      </x:c>
      <x:c r="O38" s="45" t="str">
        <x:v>https://www.gov.il/blobfolder/policy/workplace_camera/he/3-17_0.pdf</x:v>
      </x:c>
      <x:c r="P38" s="45" t="str">
        <x:v>אוטומטי</x:v>
      </x:c>
      <x:c r="Q38" s="45" t="str">
        <x:v>90 יום הוא טריגר לבחינה, לא 'קו חוקי' אוטומטי.</x:v>
      </x:c>
    </x:row>
    <x:row r="39">
      <x:c r="A39" s="45" t="str">
        <x:v>R-BIO-001</x:v>
      </x:c>
      <x:c r="B39" s="45" t="str">
        <x:v>פרטיות</x:v>
      </x:c>
      <x:c r="C39" s="45" t="str">
        <x:v>ביומטריה ללא חלופה</x:v>
      </x:c>
      <x:c r="D39" s="45" t="str">
        <x:v>PRIV-17, PRIV-18, TIME-02</x:v>
      </x:c>
      <x:c r="E39" s="45" t="str">
        <x:v>PRIV-17=כן AND PRIV-18=לא/לא יודעת</x:v>
      </x:c>
      <x:c r="F39" s="45" t="str">
        <x:v>חשיפה גבוהה</x:v>
      </x:c>
      <x:c r="G39" s="45" t="n">
        <x:v>5</x:v>
      </x:c>
      <x:c r="H39" s="45" t="str">
        <x:v>כן</x:v>
      </x:c>
      <x:c r="I39" s="45" t="str">
        <x:v>מפרט מערכת + נוהל + חלופות</x:v>
      </x:c>
      <x:c r="J39" s="45" t="str">
        <x:v>משתמשי המערכת</x:v>
      </x:c>
      <x:c r="K39" s="45" t="str">
        <x:v>משך</x:v>
      </x:c>
      <x:c r="L39" s="45" t="str">
        <x:v>מדיניות</x:v>
      </x:c>
      <x:c r="M39" s="45" t="str">
        <x:v>לבחון נחיצות, חלופה פחות פוגענית, יידוע והסדרה.</x:v>
      </x:c>
      <x:c r="N39" s="45" t="str">
        <x:v>בדיקת ביומטריה</x:v>
      </x:c>
      <x:c r="O39" s="45" t="str">
        <x:v>https://www.gov.il/BlobFolder/policy/biometric_workplace/he/BiometriWorkplace.pdf</x:v>
      </x:c>
      <x:c r="P39" s="45" t="str">
        <x:v>אוטומטי+Manual</x:v>
      </x:c>
      <x:c r="Q39" s="45" t="str">
        <x:v>עמדת הרשות מ-2026 מחייבת בחינת מידתיות וחלופות.</x:v>
      </x:c>
    </x:row>
    <x:row r="40">
      <x:c r="A40" s="45" t="str">
        <x:v>R-MON-001</x:v>
      </x:c>
      <x:c r="B40" s="45" t="str">
        <x:v>פרטיות</x:v>
      </x:c>
      <x:c r="C40" s="45" t="str">
        <x:v>ניטור דיגיטלי ללא יידוע</x:v>
      </x:c>
      <x:c r="D40" s="45" t="str">
        <x:v>PRIV-19, PRIV-21</x:v>
      </x:c>
      <x:c r="E40" s="45" t="str">
        <x:v>PRIV-19≠אין AND PRIV-21=לא/חלקי</x:v>
      </x:c>
      <x:c r="F40" s="45" t="str">
        <x:v>חשיפה גבוהה</x:v>
      </x:c>
      <x:c r="G40" s="45" t="n">
        <x:v>5</x:v>
      </x:c>
      <x:c r="H40" s="45" t="str">
        <x:v>כן</x:v>
      </x:c>
      <x:c r="I40" s="45" t="str">
        <x:v>מדיניות ניטור + מערכת</x:v>
      </x:c>
      <x:c r="J40" s="45" t="str">
        <x:v>עובדים מנוטרים</x:v>
      </x:c>
      <x:c r="K40" s="45" t="str">
        <x:v>משך</x:v>
      </x:c>
      <x:c r="L40" s="45" t="str">
        <x:v>מדיניות</x:v>
      </x:c>
      <x:c r="M40" s="45" t="str">
        <x:v>להסדיר שקיפות, תכלית והיקף לפני המשך השימוש.</x:v>
      </x:c>
      <x:c r="N40" s="45" t="str">
        <x:v>מדיניות ניטור עובדים</x:v>
      </x:c>
      <x:c r="O40" s="45" t="str">
        <x:v>https://mojforms.justice.gov.il/mojaemprivacyprotectionauthority/dpiaform.html</x:v>
      </x:c>
      <x:c r="P40" s="45" t="str">
        <x:v>אוטומטי</x:v>
      </x:c>
      <x:c r="Q40" s="45" t="str">
        <x:v>נדרש לבחון כל אמצעי ניטור בנפרד.</x:v>
      </x:c>
    </x:row>
    <x:row r="41">
      <x:c r="A41" s="45" t="str">
        <x:v>R-MON-002</x:v>
      </x:c>
      <x:c r="B41" s="45" t="str">
        <x:v>פרטיות</x:v>
      </x:c>
      <x:c r="C41" s="45" t="str">
        <x:v>ניטור מחוץ לשעות העבודה</x:v>
      </x:c>
      <x:c r="D41" s="45" t="str">
        <x:v>PRIV-19, PRIV-22</x:v>
      </x:c>
      <x:c r="E41" s="45" t="str">
        <x:v>PRIV-22=כן/תלוי</x:v>
      </x:c>
      <x:c r="F41" s="45" t="str">
        <x:v>בדיקה מיידית</x:v>
      </x:c>
      <x:c r="G41" s="45" t="n">
        <x:v>5</x:v>
      </x:c>
      <x:c r="H41" s="45" t="str">
        <x:v>כן</x:v>
      </x:c>
      <x:c r="I41" s="45" t="str">
        <x:v>הגדרות מערכת + מדיניות</x:v>
      </x:c>
      <x:c r="J41" s="45" t="str">
        <x:v>עובדים מנוטרים</x:v>
      </x:c>
      <x:c r="K41" s="45" t="str">
        <x:v>משך</x:v>
      </x:c>
      <x:c r="L41" s="45" t="str">
        <x:v>מדיניות</x:v>
      </x:c>
      <x:c r="M41" s="45" t="str">
        <x:v>לבדוק אפשרות כיבוי/צמצום ונחיצות המעקב מחוץ לעבודה.</x:v>
      </x:c>
      <x:c r="N41" s="45" t="str">
        <x:v>מדיניות ניטור עובדים</x:v>
      </x:c>
      <x:c r="O41" s="45" t="str">
        <x:v>https://mojforms.justice.gov.il/mojaemprivacyprotectionauthority/dpiaform.html</x:v>
      </x:c>
      <x:c r="P41" s="45" t="str">
        <x:v>אוטומטי+Manual</x:v>
      </x:c>
      <x:c r="Q41" s="45" t="str">
        <x:v>דגל חמור במיוחד בנתוני מיקום ומכשירים אישיים.</x:v>
      </x:c>
    </x:row>
    <x:row r="42">
      <x:c r="A42" s="45" t="str">
        <x:v>R-EMAIL-001</x:v>
      </x:c>
      <x:c r="B42" s="45" t="str">
        <x:v>פרטיות</x:v>
      </x:c>
      <x:c r="C42" s="45" t="str">
        <x:v>גישה לדוא"ל ללא פרוצדורה</x:v>
      </x:c>
      <x:c r="D42" s="45" t="str">
        <x:v>PRIV-23</x:v>
      </x:c>
      <x:c r="E42" s="45" t="str">
        <x:v>PRIV-23=לא/לא יודעת</x:v>
      </x:c>
      <x:c r="F42" s="45" t="str">
        <x:v>חשיפה אפשרית</x:v>
      </x:c>
      <x:c r="G42" s="45" t="n">
        <x:v>3</x:v>
      </x:c>
      <x:c r="H42" s="45" t="str">
        <x:v>לא</x:v>
      </x:c>
      <x:c r="I42" s="45" t="str">
        <x:v>מדיניות IT/דוא"ל</x:v>
      </x:c>
      <x:c r="J42" s="45" t="str">
        <x:v>כלל העובדים</x:v>
      </x:c>
      <x:c r="K42" s="45" t="str">
        <x:v>משך</x:v>
      </x:c>
      <x:c r="L42" s="45" t="str">
        <x:v>מדיניות</x:v>
      </x:c>
      <x:c r="M42" s="45" t="str">
        <x:v>לקבוע נוהל גישה, נסיבות, הרשאות ותיעוד.</x:v>
      </x:c>
      <x:c r="N42" s="45" t="str">
        <x:v>מדיניות מערכות ודוא"ל</x:v>
      </x:c>
      <x:c r="O42" s="45" t="str"/>
      <x:c r="P42" s="45" t="str">
        <x:v>אוטומטי</x:v>
      </x:c>
      <x:c r="Q42" s="45" t="str">
        <x:v>נדרשת התאמה לפסיקה ולנסיבות השימוש בתיבה.</x:v>
      </x:c>
    </x:row>
    <x:row r="43">
      <x:c r="A43" s="45" t="str">
        <x:v>R-OFF-001</x:v>
      </x:c>
      <x:c r="B43" s="45" t="str">
        <x:v>פרטיות</x:v>
      </x:c>
      <x:c r="C43" s="45" t="str">
        <x:v>הרשאות אינן מבוטלות בסיום</x:v>
      </x:c>
      <x:c r="D43" s="45" t="str">
        <x:v>PRIV-24</x:v>
      </x:c>
      <x:c r="E43" s="45" t="str">
        <x:v>PRIV-24=בתוך מספר ימים/לא באופן קבוע/לא יודעת</x:v>
      </x:c>
      <x:c r="F43" s="45" t="str">
        <x:v>חשיפה אבטחת מידע</x:v>
      </x:c>
      <x:c r="G43" s="45" t="n">
        <x:v>4</x:v>
      </x:c>
      <x:c r="H43" s="45" t="str">
        <x:v>לא</x:v>
      </x:c>
      <x:c r="I43" s="45" t="str">
        <x:v>נוהל Offboarding + לוגים</x:v>
      </x:c>
      <x:c r="J43" s="45" t="str">
        <x:v>עובדים שסיימו</x:v>
      </x:c>
      <x:c r="K43" s="45" t="str">
        <x:v>משך</x:v>
      </x:c>
      <x:c r="L43" s="45" t="str">
        <x:v>מדיניות</x:v>
      </x:c>
      <x:c r="M43" s="45" t="str">
        <x:v>לקבוע ביטול הרשאות מיידי ומתועד.</x:v>
      </x:c>
      <x:c r="N43" s="45" t="str">
        <x:v>נוהל Offboarding</x:v>
      </x:c>
      <x:c r="O43" s="45" t="str"/>
      <x:c r="P43" s="45" t="str">
        <x:v>אוטומטי</x:v>
      </x:c>
      <x:c r="Q43" s="45" t="str">
        <x:v>רמת החומרה עולה אם נשמרת גישה למידע רגיש.</x:v>
      </x:c>
    </x:row>
    <x:row r="44">
      <x:c r="A44" s="45" t="str">
        <x:v>R-OFF-002</x:v>
      </x:c>
      <x:c r="B44" s="45" t="str">
        <x:v>פרטיות</x:v>
      </x:c>
      <x:c r="C44" s="45" t="str">
        <x:v>העברת תיבת דוא"ל למנהל</x:v>
      </x:c>
      <x:c r="D44" s="45" t="str">
        <x:v>PRIV-25</x:v>
      </x:c>
      <x:c r="E44" s="45" t="str">
        <x:v>PRIV-25=מועברת למנהל/נשארת פעילה</x:v>
      </x:c>
      <x:c r="F44" s="45" t="str">
        <x:v>נדרשת בדיקה</x:v>
      </x:c>
      <x:c r="G44" s="45" t="n">
        <x:v>4</x:v>
      </x:c>
      <x:c r="H44" s="45" t="str">
        <x:v>לא</x:v>
      </x:c>
      <x:c r="I44" s="45" t="str">
        <x:v>מדיניות + אופן גישה</x:v>
      </x:c>
      <x:c r="J44" s="45" t="str">
        <x:v>עובדים שסיימו</x:v>
      </x:c>
      <x:c r="K44" s="45" t="str">
        <x:v>משך לאחר סיום</x:v>
      </x:c>
      <x:c r="L44" s="45" t="str">
        <x:v>מדיניות</x:v>
      </x:c>
      <x:c r="M44" s="45" t="str">
        <x:v>לבדוק מידתיות, תקופת מעבר, יידוע וגישה לתוכן.</x:v>
      </x:c>
      <x:c r="N44" s="45" t="str">
        <x:v>מדיניות סיום עבודה ופרטיות</x:v>
      </x:c>
      <x:c r="O44" s="45" t="str"/>
      <x:c r="P44" s="45" t="str">
        <x:v>Rule+Manual</x:v>
      </x:c>
      <x:c r="Q44" s="45" t="str">
        <x:v>העברה אוטומטית לכל התוכן אינה מומלצת ללא בדיקה.</x:v>
      </x:c>
    </x:row>
    <x:row r="45">
      <x:c r="A45" s="45" t="str">
        <x:v>R-RET-001</x:v>
      </x:c>
      <x:c r="B45" s="45" t="str">
        <x:v>פרטיות</x:v>
      </x:c>
      <x:c r="C45" s="45" t="str">
        <x:v>אין מדיניות שמירת מידע</x:v>
      </x:c>
      <x:c r="D45" s="45" t="str">
        <x:v>PRIV-26</x:v>
      </x:c>
      <x:c r="E45" s="45" t="str">
        <x:v>PRIV-26=לא/לא יודעת</x:v>
      </x:c>
      <x:c r="F45" s="45" t="str">
        <x:v>פער ממשל פרטיות</x:v>
      </x:c>
      <x:c r="G45" s="45" t="n">
        <x:v>3</x:v>
      </x:c>
      <x:c r="H45" s="45" t="str">
        <x:v>לא</x:v>
      </x:c>
      <x:c r="I45" s="45" t="str">
        <x:v>מסמך Retention</x:v>
      </x:c>
      <x:c r="J45" s="45" t="str">
        <x:v>כלל המידע</x:v>
      </x:c>
      <x:c r="K45" s="45" t="str">
        <x:v>משך</x:v>
      </x:c>
      <x:c r="L45" s="45" t="str">
        <x:v>מדיניות</x:v>
      </x:c>
      <x:c r="M45" s="45" t="str">
        <x:v>לבנות מטריצת שמירה ומחיקה לפי קטגוריה וצורך.</x:v>
      </x:c>
      <x:c r="N45" s="45" t="str">
        <x:v>מדיניות שמירת מידע</x:v>
      </x:c>
      <x:c r="O45" s="45" t="str"/>
      <x:c r="P45" s="45" t="str">
        <x:v>אוטומטי</x:v>
      </x:c>
      <x:c r="Q45" s="45" t="str">
        <x:v>אין לקבוע תקופות אחידות לכל סוגי המידע.</x:v>
      </x:c>
    </x:row>
    <x:row r="46">
      <x:c r="A46" s="45" t="str">
        <x:v>R-INC-001</x:v>
      </x:c>
      <x:c r="B46" s="45" t="str">
        <x:v>פרטיות</x:v>
      </x:c>
      <x:c r="C46" s="45" t="str">
        <x:v>אירוע אבטחת מידע בעבר</x:v>
      </x:c>
      <x:c r="D46" s="45" t="str">
        <x:v>PRIV-27</x:v>
      </x:c>
      <x:c r="E46" s="45" t="str">
        <x:v>PRIV-27=כן</x:v>
      </x:c>
      <x:c r="F46" s="45" t="str">
        <x:v>בדיקה מיידית</x:v>
      </x:c>
      <x:c r="G46" s="45" t="n">
        <x:v>5</x:v>
      </x:c>
      <x:c r="H46" s="45" t="str">
        <x:v>כן</x:v>
      </x:c>
      <x:c r="I46" s="45" t="str">
        <x:v>תיאור אירוע + טיפול שנעשה</x:v>
      </x:c>
      <x:c r="J46" s="45" t="str">
        <x:v>לפי האירוע</x:v>
      </x:c>
      <x:c r="K46" s="45" t="str">
        <x:v>לפי האירוע</x:v>
      </x:c>
      <x:c r="L46" s="45" t="str">
        <x:v>נקודתי/חוזר</x:v>
      </x:c>
      <x:c r="M46" s="45" t="str">
        <x:v>לבדוק חובות תיעוד/דיווח והפקת לקחים.</x:v>
      </x:c>
      <x:c r="N46" s="45" t="str">
        <x:v>טיפול באירוע פרטיות</x:v>
      </x:c>
      <x:c r="O46" s="45" t="str"/>
      <x:c r="P46" s="45" t="str">
        <x:v>Manual</x:v>
      </x:c>
      <x:c r="Q46" s="45" t="str">
        <x:v>יש לצמצם איסוף פרטי האירוע בשאלון ולהעביר לבדיקה מאובטחת.</x:v>
      </x:c>
    </x:row>
    <x:row r="47">
      <x:c r="A47" s="45" t="str">
        <x:v>R-DPO-001</x:v>
      </x:c>
      <x:c r="B47" s="45" t="str">
        <x:v>פרטיות</x:v>
      </x:c>
      <x:c r="C47" s="45" t="str">
        <x:v>Screening לחובת DPO</x:v>
      </x:c>
      <x:c r="D47" s="45" t="str">
        <x:v>PRIV-28 + פרופיל פעילות</x:v>
      </x:c>
      <x:c r="E47" s="45" t="str">
        <x:v>PRIV-28=לא/לא יודעת AND קיימים מאפייני פעילות החייבים בדיקה</x:v>
      </x:c>
      <x:c r="F47" s="45" t="str">
        <x:v>נדרשת בדיקת תחולה</x:v>
      </x:c>
      <x:c r="G47" s="45" t="n">
        <x:v>3</x:v>
      </x:c>
      <x:c r="H47" s="45" t="str">
        <x:v>לא</x:v>
      </x:c>
      <x:c r="I47" s="45" t="str">
        <x:v>מידע על פעילות הליבה והיקף העיבוד</x:v>
      </x:c>
      <x:c r="J47" s="45" t="str">
        <x:v>ארגוני</x:v>
      </x:c>
      <x:c r="K47" s="45" t="str">
        <x:v>נוכחי</x:v>
      </x:c>
      <x:c r="L47" s="45" t="str">
        <x:v>מדיניות</x:v>
      </x:c>
      <x:c r="M47" s="45" t="str">
        <x:v>לבצע Screening ייעודי לפי סעיף 17ב1 וגילוי דעת 2026.</x:v>
      </x:c>
      <x:c r="N47" s="45" t="str">
        <x:v>בחינת חובת DPO</x:v>
      </x:c>
      <x:c r="O47" s="45" t="str">
        <x:v>https://www.gov.il/he/pages/amendment-13-26-07-26</x:v>
      </x:c>
      <x:c r="P47" s="45" t="str">
        <x:v>Rule+Manual</x:v>
      </x:c>
      <x:c r="Q47" s="45" t="str">
        <x:v>אין להסיק חובה רק ממידע עובדים; זהו Screening ארגוני.</x:v>
      </x:c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Q1"/>
    <x:mergeCell ref="A2:Q3"/>
  </x:mergeCells>
  <x:conditionalFormatting sqref="G6:G47">
    <x:cfRule type="colorScale" priority="1">
      <x:colorScale>
        <x:cfvo type="min"/>
        <x:cfvo type="percentile" val="50"/>
        <x:cfvo type="max"/>
        <x:color rgb="FFE5F2E8"/>
        <x:color rgb="FFFFF2CC"/>
        <x:color rgb="FFF8CBC7"/>
      </x:colorScale>
    </x:cfRule>
  </x:conditionalFormatting>
  <x:conditionalFormatting sqref="H6:H47">
    <x:cfRule type="expression" dxfId="3" priority="2">
      <x:formula>H6="כן"</x:formula>
    </x:cfRule>
  </x:conditionalFormatting>
  <x:conditionalFormatting sqref="F6:F47">
    <x:cfRule type="expression" dxfId="4" priority="3">
      <x:formula>ISNUMBER(SEARCH("בדיקה",F6))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af0e1cfda149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48" hidden="0" customWidth="1"/>
    <x:col min="5" max="5" width="14" hidden="0" customWidth="1"/>
    <x:col min="6" max="6" width="18" hidden="0" customWidth="1"/>
    <x:col min="7" max="7" width="24" hidden="0" customWidth="1"/>
    <x:col min="8" max="8" width="10" hidden="0" customWidth="1"/>
  </x:cols>
  <x:sheetData>
    <x:row r="1" ht="30" customHeight="1">
      <x:c r="A1" s="69" t="str">
        <x:v>מקדמי חשיפה — מתודולוגיית ניקוד V1</x:v>
      </x:c>
      <x:c r="B1" s="69"/>
      <x:c r="C1" s="69"/>
      <x:c r="D1" s="69"/>
      <x:c r="E1" s="69"/>
      <x:c r="F1" s="69"/>
      <x:c r="G1" s="69"/>
      <x:c r="H1" s="69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70" t="str">
        <x:v>עקרון יסוד: צורת ההתאגדות אינה מגדילה אוטומטית את חומרת ההפרה. היא נשמרת כנתון הקשר לדוח. ציון החשיפה נגזר מחומרה משפטית בסיסית + היקף העובדים המושפעים + משך + שיטתיות/הישנות + מחלוקת/הליך פעיל. רמת הוודאות מוצגת בנפרד ואינה 'מנפחת' את הסיכון.</x:v>
      </x:c>
      <x:c r="B2" s="70"/>
      <x:c r="C2" s="70"/>
      <x:c r="D2" s="70"/>
      <x:c r="E2" s="70"/>
      <x:c r="F2" s="70"/>
      <x:c r="G2" s="70"/>
      <x:c r="H2" s="70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70"/>
      <x:c r="B3" s="70"/>
      <x:c r="C3" s="70"/>
      <x:c r="D3" s="70"/>
      <x:c r="E3" s="70"/>
      <x:c r="F3" s="70"/>
      <x:c r="G3" s="70"/>
      <x:c r="H3" s="70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71" t="str">
        <x:v>ממד</x:v>
      </x:c>
      <x:c r="B5" s="71" t="str">
        <x:v>ערך/קטגוריה</x:v>
      </x:c>
      <x:c r="C5" s="71" t="str">
        <x:v>נקודות</x:v>
      </x:c>
      <x:c r="D5" s="71" t="str">
        <x:v>הסבר</x:v>
      </x:c>
      <x:c r="E5" s="71" t="str">
        <x:v>נכנס לציון?</x:v>
      </x:c>
      <x:c r="F5" s="71" t="str">
        <x:v>שימוש</x:v>
      </x:c>
      <x:c r="G5" s="71" t="str">
        <x:v>הערה</x:v>
      </x:c>
      <x:c r="H5" s="71" t="str">
        <x:v>גרסה</x:v>
      </x:c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5" t="str">
        <x:v>חומרה משפטית בסיסית</x:v>
      </x:c>
      <x:c r="B6" s="45" t="str">
        <x:v>1 – טכני/השלמה</x:v>
      </x:c>
      <x:c r="C6" s="45" t="n">
        <x:v>10</x:v>
      </x:c>
      <x:c r="D6" s="45" t="str">
        <x:v>פער תיעודי או ממשלי שאינו מלמד לבדו על פגיעה מהותית.</x:v>
      </x:c>
      <x:c r="E6" s="45" t="str">
        <x:v>כן</x:v>
      </x:c>
      <x:c r="F6" s="45" t="str">
        <x:v>Base Severity</x:v>
      </x:c>
      <x:c r="G6" s="45" t="str"/>
      <x:c r="H6" s="45" t="str">
        <x:v>V1</x:v>
      </x:c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 t="str">
        <x:v>חומרה משפטית בסיסית</x:v>
      </x:c>
      <x:c r="B7" s="45" t="str">
        <x:v>2 – בינוני</x:v>
      </x:c>
      <x:c r="C7" s="45" t="n">
        <x:v>20</x:v>
      </x:c>
      <x:c r="D7" s="45" t="str">
        <x:v>אי-התאמה שדורשת תיקון אך החשיפה תלויה בנסיבות נוספות.</x:v>
      </x:c>
      <x:c r="E7" s="45" t="str">
        <x:v>כן</x:v>
      </x:c>
      <x:c r="F7" s="45" t="str">
        <x:v>Base Severity</x:v>
      </x:c>
      <x:c r="G7" s="45" t="str"/>
      <x:c r="H7" s="45" t="str">
        <x:v>V1</x:v>
      </x:c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 t="str">
        <x:v>חומרה משפטית בסיסית</x:v>
      </x:c>
      <x:c r="B8" s="45" t="str">
        <x:v>3 – משמעותי</x:v>
      </x:c>
      <x:c r="C8" s="45" t="n">
        <x:v>30</x:v>
      </x:c>
      <x:c r="D8" s="45" t="str">
        <x:v>סיכון משפטי ממשי או הפרה אפשרית עם השלכה כספית/ראייתית.</x:v>
      </x:c>
      <x:c r="E8" s="45" t="str">
        <x:v>כן</x:v>
      </x:c>
      <x:c r="F8" s="45" t="str">
        <x:v>Base Severity</x:v>
      </x:c>
      <x:c r="G8" s="45" t="str"/>
      <x:c r="H8" s="45" t="str">
        <x:v>V1</x:v>
      </x:c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 t="str">
        <x:v>חומרה משפטית בסיסית</x:v>
      </x:c>
      <x:c r="B9" s="45" t="str">
        <x:v>4 – גבוה</x:v>
      </x:c>
      <x:c r="C9" s="45" t="n">
        <x:v>40</x:v>
      </x:c>
      <x:c r="D9" s="45" t="str">
        <x:v>חשיפה מהותית, שיטתית או בעלת פוטנציאל כספי/אכיפתי גבוה.</x:v>
      </x:c>
      <x:c r="E9" s="45" t="str">
        <x:v>כן</x:v>
      </x:c>
      <x:c r="F9" s="45" t="str">
        <x:v>Base Severity</x:v>
      </x:c>
      <x:c r="G9" s="45" t="str"/>
      <x:c r="H9" s="45" t="str">
        <x:v>V1</x:v>
      </x:c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 t="str">
        <x:v>חומרה משפטית בסיסית</x:v>
      </x:c>
      <x:c r="B10" s="45" t="str">
        <x:v>5 – קריטי</x:v>
      </x:c>
      <x:c r="C10" s="45" t="n">
        <x:v>50</x:v>
      </x:c>
      <x:c r="D10" s="45" t="str">
        <x:v>מצב הדורש בדיקה/פעולה מיידית; לעיתים Override לקריטי.</x:v>
      </x:c>
      <x:c r="E10" s="45" t="str">
        <x:v>כן</x:v>
      </x:c>
      <x:c r="F10" s="45" t="str">
        <x:v>Base Severity</x:v>
      </x:c>
      <x:c r="G10" s="45" t="str"/>
      <x:c r="H10" s="45" t="str">
        <x:v>V1</x:v>
      </x:c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 t="str">
        <x:v>היקף</x:v>
      </x:c>
      <x:c r="B11" s="45" t="str">
        <x:v>עובד יחיד / עד 10% מהעובדים</x:v>
      </x:c>
      <x:c r="C11" s="45" t="n">
        <x:v>5</x:v>
      </x:c>
      <x:c r="D11" s="45" t="str">
        <x:v>היקף מצומצם.</x:v>
      </x:c>
      <x:c r="E11" s="45" t="str">
        <x:v>כן</x:v>
      </x:c>
      <x:c r="F11" s="45" t="str">
        <x:v>Scope</x:v>
      </x:c>
      <x:c r="G11" s="45" t="str"/>
      <x:c r="H11" s="45" t="str">
        <x:v>V1</x:v>
      </x:c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 t="str">
        <x:v>היקף</x:v>
      </x:c>
      <x:c r="B12" s="45" t="str">
        <x:v>11%–25% או 2–5 עובדים</x:v>
      </x:c>
      <x:c r="C12" s="45" t="n">
        <x:v>10</x:v>
      </x:c>
      <x:c r="D12" s="45" t="str">
        <x:v>היקף מוגבל אך לא נקודתי.</x:v>
      </x:c>
      <x:c r="E12" s="45" t="str">
        <x:v>כן</x:v>
      </x:c>
      <x:c r="F12" s="45" t="str">
        <x:v>Scope</x:v>
      </x:c>
      <x:c r="G12" s="45" t="str"/>
      <x:c r="H12" s="45" t="str">
        <x:v>V1</x:v>
      </x:c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 t="str">
        <x:v>היקף</x:v>
      </x:c>
      <x:c r="B13" s="45" t="str">
        <x:v>26%–50% או 6–20 עובדים</x:v>
      </x:c>
      <x:c r="C13" s="45" t="n">
        <x:v>15</x:v>
      </x:c>
      <x:c r="D13" s="45" t="str">
        <x:v>היקף משמעותי.</x:v>
      </x:c>
      <x:c r="E13" s="45" t="str">
        <x:v>כן</x:v>
      </x:c>
      <x:c r="F13" s="45" t="str">
        <x:v>Scope</x:v>
      </x:c>
      <x:c r="G13" s="45" t="str"/>
      <x:c r="H13" s="45" t="str">
        <x:v>V1</x:v>
      </x:c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 t="str">
        <x:v>היקף</x:v>
      </x:c>
      <x:c r="B14" s="45" t="str">
        <x:v>&gt;50% או מעל 20 עובדים</x:v>
      </x:c>
      <x:c r="C14" s="45" t="n">
        <x:v>20</x:v>
      </x:c>
      <x:c r="D14" s="45" t="str">
        <x:v>חשיפה רוחבית.</x:v>
      </x:c>
      <x:c r="E14" s="45" t="str">
        <x:v>כן</x:v>
      </x:c>
      <x:c r="F14" s="45" t="str">
        <x:v>Scope</x:v>
      </x:c>
      <x:c r="G14" s="45" t="str"/>
      <x:c r="H14" s="45" t="str">
        <x:v>V1</x:v>
      </x:c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 t="str">
        <x:v>משך</x:v>
      </x:c>
      <x:c r="B15" s="45" t="str">
        <x:v>אירוע נקודתי / פחות מ-3 חודשים</x:v>
      </x:c>
      <x:c r="C15" s="45" t="n">
        <x:v>2</x:v>
      </x:c>
      <x:c r="D15" s="45" t="str">
        <x:v>משך קצר.</x:v>
      </x:c>
      <x:c r="E15" s="45" t="str">
        <x:v>כן</x:v>
      </x:c>
      <x:c r="F15" s="45" t="str">
        <x:v>Duration</x:v>
      </x:c>
      <x:c r="G15" s="45" t="str"/>
      <x:c r="H15" s="45" t="str">
        <x:v>V1</x:v>
      </x:c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 t="str">
        <x:v>משך</x:v>
      </x:c>
      <x:c r="B16" s="45" t="str">
        <x:v>3–11 חודשים</x:v>
      </x:c>
      <x:c r="C16" s="45" t="n">
        <x:v>4</x:v>
      </x:c>
      <x:c r="D16" s="45" t="str">
        <x:v>חשיפה מתמשכת פחות משנה.</x:v>
      </x:c>
      <x:c r="E16" s="45" t="str">
        <x:v>כן</x:v>
      </x:c>
      <x:c r="F16" s="45" t="str">
        <x:v>Duration</x:v>
      </x:c>
      <x:c r="G16" s="45" t="str"/>
      <x:c r="H16" s="45" t="str">
        <x:v>V1</x:v>
      </x:c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 t="str">
        <x:v>משך</x:v>
      </x:c>
      <x:c r="B17" s="45" t="str">
        <x:v>12–35 חודשים</x:v>
      </x:c>
      <x:c r="C17" s="45" t="n">
        <x:v>7</x:v>
      </x:c>
      <x:c r="D17" s="45" t="str">
        <x:v>חשיפה ממושכת.</x:v>
      </x:c>
      <x:c r="E17" s="45" t="str">
        <x:v>כן</x:v>
      </x:c>
      <x:c r="F17" s="45" t="str">
        <x:v>Duration</x:v>
      </x:c>
      <x:c r="G17" s="45" t="str"/>
      <x:c r="H17" s="45" t="str">
        <x:v>V1</x:v>
      </x:c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 t="str">
        <x:v>משך</x:v>
      </x:c>
      <x:c r="B18" s="45" t="str">
        <x:v>36 חודשים ומעלה</x:v>
      </x:c>
      <x:c r="C18" s="45" t="n">
        <x:v>10</x:v>
      </x:c>
      <x:c r="D18" s="45" t="str">
        <x:v>חשיפה מצטברת משמעותית.</x:v>
      </x:c>
      <x:c r="E18" s="45" t="str">
        <x:v>כן</x:v>
      </x:c>
      <x:c r="F18" s="45" t="str">
        <x:v>Duration</x:v>
      </x:c>
      <x:c r="G18" s="45" t="str"/>
      <x:c r="H18" s="45" t="str">
        <x:v>V1</x:v>
      </x:c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 t="str">
        <x:v>שיטתיות</x:v>
      </x:c>
      <x:c r="B19" s="45" t="str">
        <x:v>בודד</x:v>
      </x:c>
      <x:c r="C19" s="45" t="n">
        <x:v>0</x:v>
      </x:c>
      <x:c r="D19" s="45" t="str">
        <x:v>אירוע חד-פעמי.</x:v>
      </x:c>
      <x:c r="E19" s="45" t="str">
        <x:v>כן</x:v>
      </x:c>
      <x:c r="F19" s="45" t="str">
        <x:v>Systemic</x:v>
      </x:c>
      <x:c r="G19" s="45" t="str"/>
      <x:c r="H19" s="45" t="str">
        <x:v>V1</x:v>
      </x:c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 t="str">
        <x:v>שיטתיות</x:v>
      </x:c>
      <x:c r="B20" s="45" t="str">
        <x:v>חוזר</x:v>
      </x:c>
      <x:c r="C20" s="45" t="n">
        <x:v>5</x:v>
      </x:c>
      <x:c r="D20" s="45" t="str">
        <x:v>פרקטיקה שחזרה יותר מפעם אחת.</x:v>
      </x:c>
      <x:c r="E20" s="45" t="str">
        <x:v>כן</x:v>
      </x:c>
      <x:c r="F20" s="45" t="str">
        <x:v>Systemic</x:v>
      </x:c>
      <x:c r="G20" s="45" t="str"/>
      <x:c r="H20" s="45" t="str">
        <x:v>V1</x:v>
      </x:c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 t="str">
        <x:v>שיטתיות</x:v>
      </x:c>
      <x:c r="B21" s="45" t="str">
        <x:v>מדיניות/כלל ארגוני</x:v>
      </x:c>
      <x:c r="C21" s="45" t="n">
        <x:v>10</x:v>
      </x:c>
      <x:c r="D21" s="45" t="str">
        <x:v>הפער מובנה בתהליך, חוזה, מדיניות או מערכת.</x:v>
      </x:c>
      <x:c r="E21" s="45" t="str">
        <x:v>כן</x:v>
      </x:c>
      <x:c r="F21" s="45" t="str">
        <x:v>Systemic</x:v>
      </x:c>
      <x:c r="G21" s="45" t="str"/>
      <x:c r="H21" s="45" t="str">
        <x:v>V1</x:v>
      </x:c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 t="str">
        <x:v>מחלוקת/אכיפה</x:v>
      </x:c>
      <x:c r="B22" s="45" t="str">
        <x:v>אין</x:v>
      </x:c>
      <x:c r="C22" s="45" t="n">
        <x:v>0</x:v>
      </x:c>
      <x:c r="D22" s="45" t="str">
        <x:v>אין אינדיקציה להליך פעיל.</x:v>
      </x:c>
      <x:c r="E22" s="45" t="str">
        <x:v>כן</x:v>
      </x:c>
      <x:c r="F22" s="45" t="str">
        <x:v>Active dispute</x:v>
      </x:c>
      <x:c r="G22" s="45" t="str"/>
      <x:c r="H22" s="45" t="str">
        <x:v>V1</x:v>
      </x:c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 t="str">
        <x:v>מחלוקת/אכיפה</x:v>
      </x:c>
      <x:c r="B23" s="45" t="str">
        <x:v>תלונה/מחלוקת פעילה</x:v>
      </x:c>
      <x:c r="C23" s="45" t="n">
        <x:v>5</x:v>
      </x:c>
      <x:c r="D23" s="45" t="str">
        <x:v>סיכון למימוש החשיפה.</x:v>
      </x:c>
      <x:c r="E23" s="45" t="str">
        <x:v>כן</x:v>
      </x:c>
      <x:c r="F23" s="45" t="str">
        <x:v>Active dispute</x:v>
      </x:c>
      <x:c r="G23" s="45" t="str"/>
      <x:c r="H23" s="45" t="str">
        <x:v>V1</x:v>
      </x:c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 t="str">
        <x:v>מחלוקת/אכיפה</x:v>
      </x:c>
      <x:c r="B24" s="45" t="str">
        <x:v>הליך משפטי/מינהלי/מכתב דרישה</x:v>
      </x:c>
      <x:c r="C24" s="45" t="n">
        <x:v>10</x:v>
      </x:c>
      <x:c r="D24" s="45" t="str">
        <x:v>החשיפה כבר התממשה או קרובה לכך.</x:v>
      </x:c>
      <x:c r="E24" s="45" t="str">
        <x:v>כן</x:v>
      </x:c>
      <x:c r="F24" s="45" t="str">
        <x:v>Active dispute</x:v>
      </x:c>
      <x:c r="G24" s="45" t="str"/>
      <x:c r="H24" s="45" t="str">
        <x:v>V1</x:v>
      </x:c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 t="str">
        <x:v>ודאות</x:v>
      </x:c>
      <x:c r="B25" s="45" t="str">
        <x:v>דיווח עצמי בלבד</x:v>
      </x:c>
      <x:c r="C25" s="45" t="n">
        <x:v>1</x:v>
      </x:c>
      <x:c r="D25" s="45" t="str">
        <x:v>הנתון מבוסס על תשובת הלקוח בלבד.</x:v>
      </x:c>
      <x:c r="E25" s="45" t="str">
        <x:v>לא</x:v>
      </x:c>
      <x:c r="F25" s="45" t="str">
        <x:v>Confidence</x:v>
      </x:c>
      <x:c r="G25" s="45" t="str">
        <x:v>להציג 1/4</x:v>
      </x:c>
      <x:c r="H25" s="45" t="str">
        <x:v>V1</x:v>
      </x:c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 t="str">
        <x:v>ודאות</x:v>
      </x:c>
      <x:c r="B26" s="45" t="str">
        <x:v>שתי תשובות תואמות</x:v>
      </x:c>
      <x:c r="C26" s="45" t="n">
        <x:v>2</x:v>
      </x:c>
      <x:c r="D26" s="45" t="str">
        <x:v>קיימת הצלבה פנימית.</x:v>
      </x:c>
      <x:c r="E26" s="45" t="str">
        <x:v>לא</x:v>
      </x:c>
      <x:c r="F26" s="45" t="str">
        <x:v>Confidence</x:v>
      </x:c>
      <x:c r="G26" s="45" t="str">
        <x:v>להציג 2/4</x:v>
      </x:c>
      <x:c r="H26" s="45" t="str">
        <x:v>V1</x:v>
      </x:c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 t="str">
        <x:v>ודאות</x:v>
      </x:c>
      <x:c r="B27" s="45" t="str">
        <x:v>מסמך תומך</x:v>
      </x:c>
      <x:c r="C27" s="45" t="n">
        <x:v>3</x:v>
      </x:c>
      <x:c r="D27" s="45" t="str">
        <x:v>נמצא תימוכין במסמך.</x:v>
      </x:c>
      <x:c r="E27" s="45" t="str">
        <x:v>לא</x:v>
      </x:c>
      <x:c r="F27" s="45" t="str">
        <x:v>Confidence</x:v>
      </x:c>
      <x:c r="G27" s="45" t="str">
        <x:v>להציג 3/4</x:v>
      </x:c>
      <x:c r="H27" s="45" t="str">
        <x:v>V1</x:v>
      </x:c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 t="str">
        <x:v>ודאות</x:v>
      </x:c>
      <x:c r="B28" s="45" t="str">
        <x:v>מסמך + הצלבה תפעולית</x:v>
      </x:c>
      <x:c r="C28" s="45" t="n">
        <x:v>4</x:v>
      </x:c>
      <x:c r="D28" s="45" t="str">
        <x:v>מסמך ותשובות/נתוני שכר/נוכחות תואמים.</x:v>
      </x:c>
      <x:c r="E28" s="45" t="str">
        <x:v>לא</x:v>
      </x:c>
      <x:c r="F28" s="45" t="str">
        <x:v>Confidence</x:v>
      </x:c>
      <x:c r="G28" s="45" t="str">
        <x:v>להציג 4/4</x:v>
      </x:c>
      <x:c r="H28" s="45" t="str">
        <x:v>V1</x:v>
      </x:c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71" t="str">
        <x:v>ציון</x:v>
      </x:c>
      <x:c r="B31" s="71" t="str">
        <x:v>רמת סיכון</x:v>
      </x:c>
      <x:c r="C31" s="71" t="str">
        <x:v>משמעות</x:v>
      </x:c>
      <x:c r="D31" s="71" t="str">
        <x:v>ברירת מחדל לדוח</x:v>
      </x:c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 t="str">
        <x:v>0–24</x:v>
      </x:c>
      <x:c r="B32" s="45" t="str">
        <x:v>נמוך</x:v>
      </x:c>
      <x:c r="C32" s="45" t="str">
        <x:v>אין כרגע אינדיקציה לחשיפה מהותית; ייתכנו השלמות.</x:v>
      </x:c>
      <x:c r="D32" s="45" t="str">
        <x:v>מעקב/שיפור</x:v>
      </x:c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 t="str">
        <x:v>25–44</x:v>
      </x:c>
      <x:c r="B33" s="45" t="str">
        <x:v>בינוני</x:v>
      </x:c>
      <x:c r="C33" s="45" t="str">
        <x:v>נמצא פער שמצדיק תיקון או בדיקה ממוקדת.</x:v>
      </x:c>
      <x:c r="D33" s="45" t="str">
        <x:v>תיקון מתוכנן</x:v>
      </x:c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 t="str">
        <x:v>45–64</x:v>
      </x:c>
      <x:c r="B34" s="45" t="str">
        <x:v>משמעותי</x:v>
      </x:c>
      <x:c r="C34" s="45" t="str">
        <x:v>קיימת אינדיקציה לחשיפה משפטית ממשית.</x:v>
      </x:c>
      <x:c r="D34" s="45" t="str">
        <x:v>טיפול בעדיפות</x:v>
      </x:c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 t="str">
        <x:v>65–79</x:v>
      </x:c>
      <x:c r="B35" s="45" t="str">
        <x:v>גבוה</x:v>
      </x:c>
      <x:c r="C35" s="45" t="str">
        <x:v>חשיפה מהותית, רוחבית או ממושכת.</x:v>
      </x:c>
      <x:c r="D35" s="45" t="str">
        <x:v>טיפול מהיר</x:v>
      </x:c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 t="str">
        <x:v>80–100</x:v>
      </x:c>
      <x:c r="B36" s="45" t="str">
        <x:v>קריטי</x:v>
      </x:c>
      <x:c r="C36" s="45" t="str">
        <x:v>דורש בדיקה משפטית/תפעולית מיידית.</x:v>
      </x:c>
      <x:c r="D36" s="45" t="str">
        <x:v>פעולה מיידית</x:v>
      </x:c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2761bc5051548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48" hidden="0" customWidth="1"/>
    <x:col min="5" max="5" width="14" hidden="0" customWidth="1"/>
    <x:col min="6" max="6" width="18" hidden="0" customWidth="1"/>
    <x:col min="7" max="7" width="24" hidden="0" customWidth="1"/>
    <x:col min="8" max="8" width="10" hidden="0" customWidth="1"/>
  </x:cols>
  <x:sheetData>
    <x:row r="1" ht="30" customHeight="1">
      <x:c r="A1" s="69" t="str">
        <x:v>מודל סיכון לסיווג פרילנסר — אינדיקציות מצטברות V1</x:v>
      </x:c>
      <x:c r="B1" s="69"/>
      <x:c r="C1" s="69"/>
      <x:c r="D1" s="69"/>
      <x:c r="E1" s="69"/>
      <x:c r="F1" s="69"/>
      <x:c r="G1" s="69"/>
      <x:c r="H1" s="69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70" t="str">
        <x:v>הניקוד בפרק זה אינו קובע שקיימים יחסי עובד–מעסיק. הוא משמש Screening בלבד, על בסיס הצטברות אינדיקציות עובדתיות. כל ציון בינוני ומעלה דורש בחינה משפטית של מכלול נסיבות הקשר.</x:v>
      </x:c>
      <x:c r="B2" s="70"/>
      <x:c r="C2" s="70"/>
      <x:c r="D2" s="70"/>
      <x:c r="E2" s="70"/>
      <x:c r="F2" s="70"/>
      <x:c r="G2" s="70"/>
      <x:c r="H2" s="70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70"/>
      <x:c r="B3" s="70"/>
      <x:c r="C3" s="70"/>
      <x:c r="D3" s="70"/>
      <x:c r="E3" s="70"/>
      <x:c r="F3" s="70"/>
      <x:c r="G3" s="70"/>
      <x:c r="H3" s="70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71" t="str">
        <x:v>שאלה</x:v>
      </x:c>
      <x:c r="B5" s="71" t="str">
        <x:v>אינדיקציה</x:v>
      </x:c>
      <x:c r="C5" s="71" t="str">
        <x:v>תנאי</x:v>
      </x:c>
      <x:c r="D5" s="71" t="str">
        <x:v>נקודות Screening</x:v>
      </x:c>
      <x:c r="E5" s="71" t="str">
        <x:v>כיוון</x:v>
      </x:c>
      <x:c r="F5" s="71" t="str">
        <x:v>הערה</x:v>
      </x:c>
      <x:c r="G5" s="71" t="str">
        <x:v>מקור</x:v>
      </x:c>
      <x:c r="H5" s="71" t="str">
        <x:v>אוטומטי</x:v>
      </x:c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5" t="str">
        <x:v>FR-04</x:v>
      </x:c>
      <x:c r="B6" s="45" t="str">
        <x:v>תלות/בלעדיות</x:v>
      </x:c>
      <x:c r="C6" s="45" t="str">
        <x:v>אין לקוחות אחרים</x:v>
      </x:c>
      <x:c r="D6" s="45" t="n">
        <x:v>10</x:v>
      </x:c>
      <x:c r="E6" s="45" t="str">
        <x:v>מעלה סיכון</x:v>
      </x:c>
      <x:c r="F6" s="45" t="str">
        <x:v>תלות כלכלית היא אינדיקציה בלבד.</x:v>
      </x:c>
      <x:c r="G6" s="45" t="str">
        <x:v>פסיקה – מבחן ההשתלבות</x:v>
      </x:c>
      <x:c r="H6" s="45" t="str">
        <x:v>כן</x:v>
      </x:c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 t="str">
        <x:v>FR-05</x:v>
      </x:c>
      <x:c r="B7" s="45" t="str">
        <x:v>שליטה בשעות</x:v>
      </x:c>
      <x:c r="C7" s="45" t="str">
        <x:v>העסק קובע את השעות</x:v>
      </x:c>
      <x:c r="D7" s="45" t="n">
        <x:v>10</x:v>
      </x:c>
      <x:c r="E7" s="45" t="str">
        <x:v>מעלה סיכון</x:v>
      </x:c>
      <x:c r="F7" s="45" t="str">
        <x:v>רלוונטי לכפיפות ולשליטה.</x:v>
      </x:c>
      <x:c r="G7" s="45" t="str">
        <x:v>פסיקה – מבחני עזר</x:v>
      </x:c>
      <x:c r="H7" s="45" t="str">
        <x:v>כן</x:v>
      </x:c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 t="str">
        <x:v>FR-06</x:v>
      </x:c>
      <x:c r="B8" s="45" t="str">
        <x:v>ביצוע אישי</x:v>
      </x:c>
      <x:c r="C8" s="45" t="str">
        <x:v>חייב לבצע אישית</x:v>
      </x:c>
      <x:c r="D8" s="45" t="n">
        <x:v>10</x:v>
      </x:c>
      <x:c r="E8" s="45" t="str">
        <x:v>מעלה סיכון</x:v>
      </x:c>
      <x:c r="F8" s="45" t="str">
        <x:v>מאפיין מרכזי ביחסי עבודה.</x:v>
      </x:c>
      <x:c r="G8" s="45" t="str">
        <x:v>פסיקה – מבחני עזר</x:v>
      </x:c>
      <x:c r="H8" s="45" t="str">
        <x:v>כן</x:v>
      </x:c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 t="str">
        <x:v>FR-07</x:v>
      </x:c>
      <x:c r="B9" s="45" t="str">
        <x:v>כפיפות</x:v>
      </x:c>
      <x:c r="C9" s="45" t="str">
        <x:v>מנהל נותן הוראות שוטפות</x:v>
      </x:c>
      <x:c r="D9" s="45" t="n">
        <x:v>10</x:v>
      </x:c>
      <x:c r="E9" s="45" t="str">
        <x:v>מעלה סיכון</x:v>
      </x:c>
      <x:c r="F9" s="45" t="str">
        <x:v>יש להבחין בין פיקוח מקצועי טבעי לבין כפיפות ארגונית.</x:v>
      </x:c>
      <x:c r="G9" s="45" t="str">
        <x:v>פסיקה – מבחני עזר</x:v>
      </x:c>
      <x:c r="H9" s="45" t="str">
        <x:v>כן</x:v>
      </x:c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 t="str">
        <x:v>FR-08</x:v>
      </x:c>
      <x:c r="B10" s="45" t="str">
        <x:v>מקום</x:v>
      </x:c>
      <x:c r="C10" s="45" t="str">
        <x:v>עובד בעיקר במשרדי העסק</x:v>
      </x:c>
      <x:c r="D10" s="45" t="n">
        <x:v>5</x:v>
      </x:c>
      <x:c r="E10" s="45" t="str">
        <x:v>מעלה סיכון</x:v>
      </x:c>
      <x:c r="F10" s="45" t="str">
        <x:v>משקל נמוך יחסית, תלוי בתחום.</x:v>
      </x:c>
      <x:c r="G10" s="45" t="str">
        <x:v>פסיקה – מבחני עזר</x:v>
      </x:c>
      <x:c r="H10" s="45" t="str">
        <x:v>כן</x:v>
      </x:c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 t="str">
        <x:v>FR-09</x:v>
      </x:c>
      <x:c r="B11" s="45" t="str">
        <x:v>ציוד</x:v>
      </x:c>
      <x:c r="C11" s="45" t="str">
        <x:v>העסק מספק את עיקר הציוד</x:v>
      </x:c>
      <x:c r="D11" s="45" t="n">
        <x:v>5</x:v>
      </x:c>
      <x:c r="E11" s="45" t="str">
        <x:v>מעלה סיכון</x:v>
      </x:c>
      <x:c r="F11" s="45" t="str">
        <x:v>תלוי במקצוע ובמודל העסקי.</x:v>
      </x:c>
      <x:c r="G11" s="45" t="str">
        <x:v>פסיקה – מבחני עזר</x:v>
      </x:c>
      <x:c r="H11" s="45" t="str">
        <x:v>כן</x:v>
      </x:c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 t="str">
        <x:v>FR-10</x:v>
      </x:c>
      <x:c r="B12" s="45" t="str">
        <x:v>השתלבות ארגונית</x:v>
      </x:c>
      <x:c r="C12" s="45" t="str">
        <x:v>מייל/מערכות/אתר כחלק מהצוות</x:v>
      </x:c>
      <x:c r="D12" s="45" t="n">
        <x:v>10</x:v>
      </x:c>
      <x:c r="E12" s="45" t="str">
        <x:v>מעלה סיכון</x:v>
      </x:c>
      <x:c r="F12" s="45" t="str">
        <x:v>אינדיקציה חזקה להשתלבות.</x:v>
      </x:c>
      <x:c r="G12" s="45" t="str">
        <x:v>פסיקה – מבחן ההשתלבות</x:v>
      </x:c>
      <x:c r="H12" s="45" t="str">
        <x:v>כן</x:v>
      </x:c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 t="str">
        <x:v>FR-11</x:v>
      </x:c>
      <x:c r="B13" s="45" t="str">
        <x:v>השתלבות ארגונית</x:v>
      </x:c>
      <x:c r="C13" s="45" t="str">
        <x:v>משתתף שוטף בישיבות/הדרכות</x:v>
      </x:c>
      <x:c r="D13" s="45" t="n">
        <x:v>5</x:v>
      </x:c>
      <x:c r="E13" s="45" t="str">
        <x:v>מעלה סיכון</x:v>
      </x:c>
      <x:c r="F13" s="45" t="str">
        <x:v>תלוי באופי ההתקשרות.</x:v>
      </x:c>
      <x:c r="G13" s="45" t="str">
        <x:v>פסיקה – מבחן ההשתלבות</x:v>
      </x:c>
      <x:c r="H13" s="45" t="str">
        <x:v>כן</x:v>
      </x:c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 t="str">
        <x:v>FR-12</x:v>
      </x:c>
      <x:c r="B14" s="45" t="str">
        <x:v>שליטה בהיעדרות</x:v>
      </x:c>
      <x:c r="C14" s="45" t="str">
        <x:v>נדרש אישור לחופשה</x:v>
      </x:c>
      <x:c r="D14" s="45" t="n">
        <x:v>10</x:v>
      </x:c>
      <x:c r="E14" s="45" t="str">
        <x:v>מעלה סיכון</x:v>
      </x:c>
      <x:c r="F14" s="45" t="str">
        <x:v>מבדיל בין תיאום מסחרי לבין כפיפות.</x:v>
      </x:c>
      <x:c r="G14" s="45" t="str">
        <x:v>פסיקה – מבחני עזר</x:v>
      </x:c>
      <x:c r="H14" s="45" t="str">
        <x:v>כן</x:v>
      </x:c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 t="str">
        <x:v>FR-13</x:v>
      </x:c>
      <x:c r="B15" s="45" t="str">
        <x:v>ליבת העסק</x:v>
      </x:c>
      <x:c r="C15" s="45" t="str">
        <x:v>שכירים מבצעים עבודה דומה</x:v>
      </x:c>
      <x:c r="D15" s="45" t="n">
        <x:v>10</x:v>
      </x:c>
      <x:c r="E15" s="45" t="str">
        <x:v>מעלה סיכון</x:v>
      </x:c>
      <x:c r="F15" s="45" t="str">
        <x:v>אינדיקציה להשתלבות במפעל העסק.</x:v>
      </x:c>
      <x:c r="G15" s="45" t="str">
        <x:v>פסיקה – מבחן ההשתלבות</x:v>
      </x:c>
      <x:c r="H15" s="45" t="str">
        <x:v>כן</x:v>
      </x:c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 t="str">
        <x:v>FR-14</x:v>
      </x:c>
      <x:c r="B16" s="45" t="str">
        <x:v>היסטוריית קשר</x:v>
      </x:c>
      <x:c r="C16" s="45" t="str">
        <x:v>היה/הפך לשכיר</x:v>
      </x:c>
      <x:c r="D16" s="45" t="n">
        <x:v>10</x:v>
      </x:c>
      <x:c r="E16" s="45" t="str">
        <x:v>מעלה סיכון</x:v>
      </x:c>
      <x:c r="F16" s="45" t="str">
        <x:v>דורש בחינת שינוי אמיתי במתכונת.</x:v>
      </x:c>
      <x:c r="G16" s="45" t="str">
        <x:v>פסיקה – מבחני עזר</x:v>
      </x:c>
      <x:c r="H16" s="45" t="str">
        <x:v>כן</x:v>
      </x:c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 t="str">
        <x:v>FR-03</x:v>
      </x:c>
      <x:c r="B17" s="45" t="str">
        <x:v>אופן תשלום</x:v>
      </x:c>
      <x:c r="C17" s="45" t="str">
        <x:v>חודשי קבוע או לפי שעות</x:v>
      </x:c>
      <x:c r="D17" s="45" t="n">
        <x:v>5</x:v>
      </x:c>
      <x:c r="E17" s="45" t="str">
        <x:v>מעלה במעט</x:v>
      </x:c>
      <x:c r="F17" s="45" t="str">
        <x:v>לא מכריע כשלעצמו.</x:v>
      </x:c>
      <x:c r="G17" s="45" t="str">
        <x:v>פסיקה – מבחני עזר</x:v>
      </x:c>
      <x:c r="H17" s="45" t="str">
        <x:v>כן</x:v>
      </x:c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 t="str">
        <x:v>FR-06</x:v>
      </x:c>
      <x:c r="B18" s="45" t="str">
        <x:v>יכולת החלפה</x:v>
      </x:c>
      <x:c r="C18" s="45" t="str">
        <x:v>יכול להעסיק אחרים ללא אישור</x:v>
      </x:c>
      <x:c r="D18" s="45" t="n">
        <x:v>-10</x:v>
      </x:c>
      <x:c r="E18" s="45" t="str">
        <x:v>מפחית סיכון</x:v>
      </x:c>
      <x:c r="F18" s="45" t="str">
        <x:v>אינדיקציה לעצמאות עסקית.</x:v>
      </x:c>
      <x:c r="G18" s="45" t="str">
        <x:v>פסיקה – מבחני עזר</x:v>
      </x:c>
      <x:c r="H18" s="45" t="str">
        <x:v>כן</x:v>
      </x:c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 t="str">
        <x:v>FR-04</x:v>
      </x:c>
      <x:c r="B19" s="45" t="str">
        <x:v>לקוחות נוספים</x:v>
      </x:c>
      <x:c r="C19" s="45" t="str">
        <x:v>יש לקוחות נוספים</x:v>
      </x:c>
      <x:c r="D19" s="45" t="n">
        <x:v>-5</x:v>
      </x:c>
      <x:c r="E19" s="45" t="str">
        <x:v>מפחית סיכון</x:v>
      </x:c>
      <x:c r="F19" s="45" t="str">
        <x:v>משקל מוגבל; ייתכן עובד עם עבודה נוספת.</x:v>
      </x:c>
      <x:c r="G19" s="45" t="str">
        <x:v>פסיקה – מבחני עזר</x:v>
      </x:c>
      <x:c r="H19" s="45" t="str">
        <x:v>כן</x:v>
      </x:c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71" t="str">
        <x:v>ציון Screening</x:v>
      </x:c>
      <x:c r="B23" s="71" t="str">
        <x:v>רמה</x:v>
      </x:c>
      <x:c r="C23" s="71" t="str">
        <x:v>משמעות</x:v>
      </x:c>
      <x:c r="D23" s="71" t="str">
        <x:v>פעולה</x:v>
      </x:c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 t="str">
        <x:v>0–20</x:v>
      </x:c>
      <x:c r="B24" s="45" t="str">
        <x:v>נמוך</x:v>
      </x:c>
      <x:c r="C24" s="45" t="str">
        <x:v>מעט אינדיקציות להשתלבות.</x:v>
      </x:c>
      <x:c r="D24" s="45" t="str">
        <x:v>סקירה בסיסית של ההסכם</x:v>
      </x:c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 t="str">
        <x:v>21–40</x:v>
      </x:c>
      <x:c r="B25" s="45" t="str">
        <x:v>בינוני</x:v>
      </x:c>
      <x:c r="C25" s="45" t="str">
        <x:v>מספר אינדיקציות מצטברות.</x:v>
      </x:c>
      <x:c r="D25" s="45" t="str">
        <x:v>בדיקה משפטית ממוקדת</x:v>
      </x:c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 t="str">
        <x:v>41–60</x:v>
      </x:c>
      <x:c r="B26" s="45" t="str">
        <x:v>משמעותי</x:v>
      </x:c>
      <x:c r="C26" s="45" t="str">
        <x:v>מאפיינים מהותיים של השתלבות/כפיפות.</x:v>
      </x:c>
      <x:c r="D26" s="45" t="str">
        <x:v>בדיקה מלאה של הקשר בפועל</x:v>
      </x:c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 t="str">
        <x:v>61+</x:v>
      </x:c>
      <x:c r="B27" s="45" t="str">
        <x:v>גבוה</x:v>
      </x:c>
      <x:c r="C27" s="45" t="str">
        <x:v>הצטברות אינדיקציות משמעותית.</x:v>
      </x:c>
      <x:c r="D27" s="45" t="str">
        <x:v>טיפול בעדיפות; אין לקבוע סטטוס ללא חוות דעת</x:v>
      </x:c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2196c468d0cb49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6" hidden="0" customWidth="1"/>
  </x:cols>
  <x:sheetData>
    <x:row r="1" ht="30" customHeight="1">
      <x:c r="A1" s="69" t="str">
        <x:v>מחשבון סיכון — Sandbox לממצאים בפיילוט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45"/>
      <x:c r="N1" s="45"/>
      <x:c r="O1" s="45"/>
      <x:c r="P1" s="45"/>
      <x:c r="Q1" s="45"/>
    </x:row>
    <x:row r="2">
      <x:c r="A2" s="70" t="str">
        <x:v>זהו מחשבון תפעולי לממצא בודד. לאחר הפיילוט הוא יוזן אוטומטית מנתוני השאלון וה-Rule Engine. Confidence מוצג בנפרד ואינו חלק מציון החשיפה.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45"/>
      <x:c r="N2" s="45"/>
      <x:c r="O2" s="45"/>
      <x:c r="P2" s="45"/>
      <x:c r="Q2" s="45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45"/>
      <x:c r="N3" s="45"/>
      <x:c r="O3" s="45"/>
      <x:c r="P3" s="45"/>
      <x:c r="Q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71" t="str">
        <x:v>ממצא</x:v>
      </x:c>
      <x:c r="B5" s="71" t="str">
        <x:v>חומרה 1-5</x:v>
      </x:c>
      <x:c r="C5" s="71" t="str">
        <x:v>עובדים מושפעים</x:v>
      </x:c>
      <x:c r="D5" s="71" t="str">
        <x:v>סה"כ עובדים</x:v>
      </x:c>
      <x:c r="E5" s="71" t="str">
        <x:v>משך בחודשים</x:v>
      </x:c>
      <x:c r="F5" s="71" t="str">
        <x:v>שיטתיות</x:v>
      </x:c>
      <x:c r="G5" s="71" t="str">
        <x:v>מחלוקת/הליך</x:v>
      </x:c>
      <x:c r="H5" s="71" t="str">
        <x:v>Override קריטי</x:v>
      </x:c>
      <x:c r="I5" s="71" t="str">
        <x:v>נק' היקף</x:v>
      </x:c>
      <x:c r="J5" s="71" t="str">
        <x:v>נק' משך</x:v>
      </x:c>
      <x:c r="K5" s="71" t="str">
        <x:v>ציון סופי</x:v>
      </x:c>
      <x:c r="L5" s="71" t="str">
        <x:v>רמת סיכון</x:v>
      </x:c>
      <x:c r="M5" s="45"/>
      <x:c r="N5" s="45"/>
      <x:c r="O5" s="45"/>
      <x:c r="P5" s="45"/>
      <x:c r="Q5" s="45"/>
    </x:row>
    <x:row r="6">
      <x:c r="A6" s="45" t="str">
        <x:v>דוגמה: אין הודעה/הסכם</x:v>
      </x:c>
      <x:c r="B6" s="45" t="n">
        <x:v>4</x:v>
      </x:c>
      <x:c r="C6" s="45" t="n">
        <x:v>8</x:v>
      </x:c>
      <x:c r="D6" s="45" t="n">
        <x:v>20</x:v>
      </x:c>
      <x:c r="E6" s="45" t="n">
        <x:v>18</x:v>
      </x:c>
      <x:c r="F6" s="45" t="str">
        <x:v>מדיניות</x:v>
      </x:c>
      <x:c r="G6" s="45" t="str">
        <x:v>אין</x:v>
      </x:c>
      <x:c r="H6" s="45" t="str">
        <x:v>לא</x:v>
      </x:c>
      <x:c r="I6" s="45" t="n">
        <x:f>IF(OR(C6="",D6="",D6=0),0,IF(C6&lt;=1,5,IF(OR(C6/D6&lt;=0.25,C6&lt;=5),10,IF(OR(C6/D6&lt;=0.5,C6&lt;=20),15,20))))</x:f>
        <x:v>15</x:v>
      </x:c>
      <x:c r="J6" s="45" t="n">
        <x:f>IF(E6="",0,IF(E6&lt;3,2,IF(E6&lt;12,4,IF(E6&lt;36,7,10))))</x:f>
        <x:v>7</x:v>
      </x:c>
      <x:c r="K6" s="45" t="n">
        <x:f>IF(B6="", "", MIN(100,B6*10+I6+J6+IF(F6="מדיניות",10,IF(F6="חוזר",5,0))+IF(G6="הליך משפטי/מינהלי/מכתב דרישה",10,IF(G6="תלונה/מחלוקת פעילה",5,0))))</x:f>
        <x:v>72</x:v>
      </x:c>
      <x:c r="L6" s="45" t="str">
        <x:f>IF(K6="","",IF(H6="כן","קריטי",IF(K6&gt;=80,"קריטי",IF(K6&gt;=65,"גבוה",IF(K6&gt;=45,"משמעותי",IF(K6&gt;=25,"בינוני","נמוך"))))))</x:f>
        <x:v>גבוה</x:v>
      </x:c>
      <x:c r="M6" s="45"/>
      <x:c r="N6" s="45"/>
      <x:c r="O6" s="45"/>
      <x:c r="P6" s="45"/>
      <x:c r="Q6" s="45"/>
    </x:row>
    <x:row r="7">
      <x:c r="A7" s="45" t="str">
        <x:v>דוגמה: מצלמה בחדר הלבשה</x:v>
      </x:c>
      <x:c r="B7" s="45" t="n">
        <x:v>5</x:v>
      </x:c>
      <x:c r="C7" s="45" t="n">
        <x:v>20</x:v>
      </x:c>
      <x:c r="D7" s="45" t="n">
        <x:v>20</x:v>
      </x:c>
      <x:c r="E7" s="45" t="n">
        <x:v>6</x:v>
      </x:c>
      <x:c r="F7" s="45" t="str">
        <x:v>מדיניות</x:v>
      </x:c>
      <x:c r="G7" s="45" t="str">
        <x:v>אין</x:v>
      </x:c>
      <x:c r="H7" s="45" t="str">
        <x:v>כן</x:v>
      </x:c>
      <x:c r="I7" s="45" t="n">
        <x:f>IF(OR(C7="",D7="",D7=0),0,IF(C7&lt;=1,5,IF(OR(C7/D7&lt;=0.25,C7&lt;=5),10,IF(OR(C7/D7&lt;=0.5,C7&lt;=20),15,20))))</x:f>
        <x:v>15</x:v>
      </x:c>
      <x:c r="J7" s="45" t="n">
        <x:f>IF(E7="",0,IF(E7&lt;3,2,IF(E7&lt;12,4,IF(E7&lt;36,7,10))))</x:f>
        <x:v>4</x:v>
      </x:c>
      <x:c r="K7" s="45" t="n">
        <x:f>IF(B7="", "", MIN(100,B7*10+I7+J7+IF(F7="מדיניות",10,IF(F7="חוזר",5,0))+IF(G7="הליך משפטי/מינהלי/מכתב דרישה",10,IF(G7="תלונה/מחלוקת פעילה",5,0))))</x:f>
        <x:v>79</x:v>
      </x:c>
      <x:c r="L7" s="45" t="str">
        <x:f>IF(K7="","",IF(H7="כן","קריטי",IF(K7&gt;=80,"קריטי",IF(K7&gt;=65,"גבוה",IF(K7&gt;=45,"משמעותי",IF(K7&gt;=25,"בינוני","נמוך"))))))</x:f>
        <x:v>קריטי</x:v>
      </x:c>
      <x:c r="M7" s="45"/>
      <x:c r="N7" s="45"/>
      <x:c r="O7" s="45"/>
      <x:c r="P7" s="45"/>
      <x:c r="Q7" s="45"/>
    </x:row>
    <x:row r="8">
      <x:c r="A8" s="45" t="str">
        <x:v>דוגמה: אין מדיניות שמירת מידע</x:v>
      </x:c>
      <x:c r="B8" s="45" t="n">
        <x:v>3</x:v>
      </x:c>
      <x:c r="C8" s="45" t="n">
        <x:v>20</x:v>
      </x:c>
      <x:c r="D8" s="45" t="n">
        <x:v>20</x:v>
      </x:c>
      <x:c r="E8" s="45" t="n">
        <x:v>24</x:v>
      </x:c>
      <x:c r="F8" s="45" t="str">
        <x:v>מדיניות</x:v>
      </x:c>
      <x:c r="G8" s="45" t="str">
        <x:v>אין</x:v>
      </x:c>
      <x:c r="H8" s="45" t="str">
        <x:v>לא</x:v>
      </x:c>
      <x:c r="I8" s="45" t="n">
        <x:f>IF(OR(C8="",D8="",D8=0),0,IF(C8&lt;=1,5,IF(OR(C8/D8&lt;=0.25,C8&lt;=5),10,IF(OR(C8/D8&lt;=0.5,C8&lt;=20),15,20))))</x:f>
        <x:v>15</x:v>
      </x:c>
      <x:c r="J8" s="45" t="n">
        <x:f>IF(E8="",0,IF(E8&lt;3,2,IF(E8&lt;12,4,IF(E8&lt;36,7,10))))</x:f>
        <x:v>7</x:v>
      </x:c>
      <x:c r="K8" s="45" t="n">
        <x:f>IF(B8="", "", MIN(100,B8*10+I8+J8+IF(F8="מדיניות",10,IF(F8="חוזר",5,0))+IF(G8="הליך משפטי/מינהלי/מכתב דרישה",10,IF(G8="תלונה/מחלוקת פעילה",5,0))))</x:f>
        <x:v>62</x:v>
      </x:c>
      <x:c r="L8" s="45" t="str">
        <x:f>IF(K8="","",IF(H8="כן","קריטי",IF(K8&gt;=80,"קריטי",IF(K8&gt;=65,"גבוה",IF(K8&gt;=45,"משמעותי",IF(K8&gt;=25,"בינוני","נמוך"))))))</x:f>
        <x:v>משמעותי</x:v>
      </x:c>
      <x:c r="M8" s="45"/>
      <x:c r="N8" s="45"/>
      <x:c r="O8" s="45"/>
      <x:c r="P8" s="45"/>
      <x:c r="Q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 t="n">
        <x:f>IF(OR(C9="",D9="",D9=0),0,IF(C9&lt;=1,5,IF(OR(C9/D9&lt;=0.25,C9&lt;=5),10,IF(OR(C9/D9&lt;=0.5,C9&lt;=20),15,20))))</x:f>
        <x:v>0</x:v>
      </x:c>
      <x:c r="J9" s="45" t="n">
        <x:f>IF(E9="",0,IF(E9&lt;3,2,IF(E9&lt;12,4,IF(E9&lt;36,7,10))))</x:f>
        <x:v>0</x:v>
      </x:c>
      <x:c r="K9" s="45" t="str">
        <x:f>IF(B9="", "", MIN(100,B9*10+I9+J9+IF(F9="מדיניות",10,IF(F9="חוזר",5,0))+IF(G9="הליך משפטי/מינהלי/מכתב דרישה",10,IF(G9="תלונה/מחלוקת פעילה",5,0))))</x:f>
      </x:c>
      <x:c r="L9" s="45" t="str">
        <x:f>IF(K9="","",IF(H9="כן","קריטי",IF(K9&gt;=80,"קריטי",IF(K9&gt;=65,"גבוה",IF(K9&gt;=45,"משמעותי",IF(K9&gt;=25,"בינוני","נמוך"))))))</x:f>
      </x:c>
      <x:c r="M9" s="45"/>
      <x:c r="N9" s="45"/>
      <x:c r="O9" s="45"/>
      <x:c r="P9" s="45"/>
      <x:c r="Q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 t="n">
        <x:f>IF(OR(C10="",D10="",D10=0),0,IF(C10&lt;=1,5,IF(OR(C10/D10&lt;=0.25,C10&lt;=5),10,IF(OR(C10/D10&lt;=0.5,C10&lt;=20),15,20))))</x:f>
        <x:v>0</x:v>
      </x:c>
      <x:c r="J10" s="45" t="n">
        <x:f>IF(E10="",0,IF(E10&lt;3,2,IF(E10&lt;12,4,IF(E10&lt;36,7,10))))</x:f>
        <x:v>0</x:v>
      </x:c>
      <x:c r="K10" s="45" t="str">
        <x:f>IF(B10="", "", MIN(100,B10*10+I10+J10+IF(F10="מדיניות",10,IF(F10="חוזר",5,0))+IF(G10="הליך משפטי/מינהלי/מכתב דרישה",10,IF(G10="תלונה/מחלוקת פעילה",5,0))))</x:f>
      </x:c>
      <x:c r="L10" s="45" t="str">
        <x:f>IF(K10="","",IF(H10="כן","קריטי",IF(K10&gt;=80,"קריטי",IF(K10&gt;=65,"גבוה",IF(K10&gt;=45,"משמעותי",IF(K10&gt;=25,"בינוני","נמוך"))))))</x:f>
      </x:c>
      <x:c r="M10" s="45"/>
      <x:c r="N10" s="45"/>
      <x:c r="O10" s="45"/>
      <x:c r="P10" s="45"/>
      <x:c r="Q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 t="n">
        <x:f>IF(OR(C11="",D11="",D11=0),0,IF(C11&lt;=1,5,IF(OR(C11/D11&lt;=0.25,C11&lt;=5),10,IF(OR(C11/D11&lt;=0.5,C11&lt;=20),15,20))))</x:f>
        <x:v>0</x:v>
      </x:c>
      <x:c r="J11" s="45" t="n">
        <x:f>IF(E11="",0,IF(E11&lt;3,2,IF(E11&lt;12,4,IF(E11&lt;36,7,10))))</x:f>
        <x:v>0</x:v>
      </x:c>
      <x:c r="K11" s="45" t="str">
        <x:f>IF(B11="", "", MIN(100,B11*10+I11+J11+IF(F11="מדיניות",10,IF(F11="חוזר",5,0))+IF(G11="הליך משפטי/מינהלי/מכתב דרישה",10,IF(G11="תלונה/מחלוקת פעילה",5,0))))</x:f>
      </x:c>
      <x:c r="L11" s="45" t="str">
        <x:f>IF(K11="","",IF(H11="כן","קריטי",IF(K11&gt;=80,"קריטי",IF(K11&gt;=65,"גבוה",IF(K11&gt;=45,"משמעותי",IF(K11&gt;=25,"בינוני","נמוך"))))))</x:f>
      </x:c>
      <x:c r="M11" s="45"/>
      <x:c r="N11" s="45"/>
      <x:c r="O11" s="45"/>
      <x:c r="P11" s="45"/>
      <x:c r="Q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 t="n">
        <x:f>IF(OR(C12="",D12="",D12=0),0,IF(C12&lt;=1,5,IF(OR(C12/D12&lt;=0.25,C12&lt;=5),10,IF(OR(C12/D12&lt;=0.5,C12&lt;=20),15,20))))</x:f>
        <x:v>0</x:v>
      </x:c>
      <x:c r="J12" s="45" t="n">
        <x:f>IF(E12="",0,IF(E12&lt;3,2,IF(E12&lt;12,4,IF(E12&lt;36,7,10))))</x:f>
        <x:v>0</x:v>
      </x:c>
      <x:c r="K12" s="45" t="str">
        <x:f>IF(B12="", "", MIN(100,B12*10+I12+J12+IF(F12="מדיניות",10,IF(F12="חוזר",5,0))+IF(G12="הליך משפטי/מינהלי/מכתב דרישה",10,IF(G12="תלונה/מחלוקת פעילה",5,0))))</x:f>
      </x:c>
      <x:c r="L12" s="45" t="str">
        <x:f>IF(K12="","",IF(H12="כן","קריטי",IF(K12&gt;=80,"קריטי",IF(K12&gt;=65,"גבוה",IF(K12&gt;=45,"משמעותי",IF(K12&gt;=25,"בינוני","נמוך"))))))</x:f>
      </x:c>
      <x:c r="M12" s="45"/>
      <x:c r="N12" s="45"/>
      <x:c r="O12" s="45"/>
      <x:c r="P12" s="45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 t="n">
        <x:f>IF(OR(C13="",D13="",D13=0),0,IF(C13&lt;=1,5,IF(OR(C13/D13&lt;=0.25,C13&lt;=5),10,IF(OR(C13/D13&lt;=0.5,C13&lt;=20),15,20))))</x:f>
        <x:v>0</x:v>
      </x:c>
      <x:c r="J13" s="45" t="n">
        <x:f>IF(E13="",0,IF(E13&lt;3,2,IF(E13&lt;12,4,IF(E13&lt;36,7,10))))</x:f>
        <x:v>0</x:v>
      </x:c>
      <x:c r="K13" s="45" t="str">
        <x:f>IF(B13="", "", MIN(100,B13*10+I13+J13+IF(F13="מדיניות",10,IF(F13="חוזר",5,0))+IF(G13="הליך משפטי/מינהלי/מכתב דרישה",10,IF(G13="תלונה/מחלוקת פעילה",5,0))))</x:f>
      </x:c>
      <x:c r="L13" s="45" t="str">
        <x:f>IF(K13="","",IF(H13="כן","קריטי",IF(K13&gt;=80,"קריטי",IF(K13&gt;=65,"גבוה",IF(K13&gt;=45,"משמעותי",IF(K13&gt;=25,"בינוני","נמוך"))))))</x:f>
      </x:c>
      <x:c r="M13" s="45"/>
      <x:c r="N13" s="45"/>
      <x:c r="O13" s="45"/>
      <x:c r="P13" s="45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 t="n">
        <x:f>IF(OR(C14="",D14="",D14=0),0,IF(C14&lt;=1,5,IF(OR(C14/D14&lt;=0.25,C14&lt;=5),10,IF(OR(C14/D14&lt;=0.5,C14&lt;=20),15,20))))</x:f>
        <x:v>0</x:v>
      </x:c>
      <x:c r="J14" s="45" t="n">
        <x:f>IF(E14="",0,IF(E14&lt;3,2,IF(E14&lt;12,4,IF(E14&lt;36,7,10))))</x:f>
        <x:v>0</x:v>
      </x:c>
      <x:c r="K14" s="45" t="str">
        <x:f>IF(B14="", "", MIN(100,B14*10+I14+J14+IF(F14="מדיניות",10,IF(F14="חוזר",5,0))+IF(G14="הליך משפטי/מינהלי/מכתב דרישה",10,IF(G14="תלונה/מחלוקת פעילה",5,0))))</x:f>
      </x:c>
      <x:c r="L14" s="45" t="str">
        <x:f>IF(K14="","",IF(H14="כן","קריטי",IF(K14&gt;=80,"קריטי",IF(K14&gt;=65,"גבוה",IF(K14&gt;=45,"משמעותי",IF(K14&gt;=25,"בינוני","נמוך"))))))</x:f>
      </x:c>
      <x:c r="M14" s="45"/>
      <x:c r="N14" s="45"/>
      <x:c r="O14" s="45"/>
      <x:c r="P14" s="45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 t="n">
        <x:f>IF(OR(C15="",D15="",D15=0),0,IF(C15&lt;=1,5,IF(OR(C15/D15&lt;=0.25,C15&lt;=5),10,IF(OR(C15/D15&lt;=0.5,C15&lt;=20),15,20))))</x:f>
        <x:v>0</x:v>
      </x:c>
      <x:c r="J15" s="45" t="n">
        <x:f>IF(E15="",0,IF(E15&lt;3,2,IF(E15&lt;12,4,IF(E15&lt;36,7,10))))</x:f>
        <x:v>0</x:v>
      </x:c>
      <x:c r="K15" s="45" t="str">
        <x:f>IF(B15="", "", MIN(100,B15*10+I15+J15+IF(F15="מדיניות",10,IF(F15="חוזר",5,0))+IF(G15="הליך משפטי/מינהלי/מכתב דרישה",10,IF(G15="תלונה/מחלוקת פעילה",5,0))))</x:f>
      </x:c>
      <x:c r="L15" s="45" t="str">
        <x:f>IF(K15="","",IF(H15="כן","קריטי",IF(K15&gt;=80,"קריטי",IF(K15&gt;=65,"גבוה",IF(K15&gt;=45,"משמעותי",IF(K15&gt;=25,"בינוני","נמוך"))))))</x:f>
      </x:c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 t="n">
        <x:f>IF(OR(C16="",D16="",D16=0),0,IF(C16&lt;=1,5,IF(OR(C16/D16&lt;=0.25,C16&lt;=5),10,IF(OR(C16/D16&lt;=0.5,C16&lt;=20),15,20))))</x:f>
        <x:v>0</x:v>
      </x:c>
      <x:c r="J16" s="45" t="n">
        <x:f>IF(E16="",0,IF(E16&lt;3,2,IF(E16&lt;12,4,IF(E16&lt;36,7,10))))</x:f>
        <x:v>0</x:v>
      </x:c>
      <x:c r="K16" s="45" t="str">
        <x:f>IF(B16="", "", MIN(100,B16*10+I16+J16+IF(F16="מדיניות",10,IF(F16="חוזר",5,0))+IF(G16="הליך משפטי/מינהלי/מכתב דרישה",10,IF(G16="תלונה/מחלוקת פעילה",5,0))))</x:f>
      </x:c>
      <x:c r="L16" s="45" t="str">
        <x:f>IF(K16="","",IF(H16="כן","קריטי",IF(K16&gt;=80,"קריטי",IF(K16&gt;=65,"גבוה",IF(K16&gt;=45,"משמעותי",IF(K16&gt;=25,"בינוני","נמוך"))))))</x:f>
      </x:c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 t="n">
        <x:f>IF(OR(C17="",D17="",D17=0),0,IF(C17&lt;=1,5,IF(OR(C17/D17&lt;=0.25,C17&lt;=5),10,IF(OR(C17/D17&lt;=0.5,C17&lt;=20),15,20))))</x:f>
        <x:v>0</x:v>
      </x:c>
      <x:c r="J17" s="45" t="n">
        <x:f>IF(E17="",0,IF(E17&lt;3,2,IF(E17&lt;12,4,IF(E17&lt;36,7,10))))</x:f>
        <x:v>0</x:v>
      </x:c>
      <x:c r="K17" s="45" t="str">
        <x:f>IF(B17="", "", MIN(100,B17*10+I17+J17+IF(F17="מדיניות",10,IF(F17="חוזר",5,0))+IF(G17="הליך משפטי/מינהלי/מכתב דרישה",10,IF(G17="תלונה/מחלוקת פעילה",5,0))))</x:f>
      </x:c>
      <x:c r="L17" s="45" t="str">
        <x:f>IF(K17="","",IF(H17="כן","קריטי",IF(K17&gt;=80,"קריטי",IF(K17&gt;=65,"גבוה",IF(K17&gt;=45,"משמעותי",IF(K17&gt;=25,"בינוני","נמוך"))))))</x:f>
      </x:c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 t="n">
        <x:f>IF(OR(C18="",D18="",D18=0),0,IF(C18&lt;=1,5,IF(OR(C18/D18&lt;=0.25,C18&lt;=5),10,IF(OR(C18/D18&lt;=0.5,C18&lt;=20),15,20))))</x:f>
        <x:v>0</x:v>
      </x:c>
      <x:c r="J18" s="45" t="n">
        <x:f>IF(E18="",0,IF(E18&lt;3,2,IF(E18&lt;12,4,IF(E18&lt;36,7,10))))</x:f>
        <x:v>0</x:v>
      </x:c>
      <x:c r="K18" s="45" t="str">
        <x:f>IF(B18="", "", MIN(100,B18*10+I18+J18+IF(F18="מדיניות",10,IF(F18="חוזר",5,0))+IF(G18="הליך משפטי/מינהלי/מכתב דרישה",10,IF(G18="תלונה/מחלוקת פעילה",5,0))))</x:f>
      </x:c>
      <x:c r="L18" s="45" t="str">
        <x:f>IF(K18="","",IF(H18="כן","קריטי",IF(K18&gt;=80,"קריטי",IF(K18&gt;=65,"גבוה",IF(K18&gt;=45,"משמעותי",IF(K18&gt;=25,"בינוני","נמוך"))))))</x:f>
      </x:c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 t="n">
        <x:f>IF(OR(C19="",D19="",D19=0),0,IF(C19&lt;=1,5,IF(OR(C19/D19&lt;=0.25,C19&lt;=5),10,IF(OR(C19/D19&lt;=0.5,C19&lt;=20),15,20))))</x:f>
        <x:v>0</x:v>
      </x:c>
      <x:c r="J19" s="45" t="n">
        <x:f>IF(E19="",0,IF(E19&lt;3,2,IF(E19&lt;12,4,IF(E19&lt;36,7,10))))</x:f>
        <x:v>0</x:v>
      </x:c>
      <x:c r="K19" s="45" t="str">
        <x:f>IF(B19="", "", MIN(100,B19*10+I19+J19+IF(F19="מדיניות",10,IF(F19="חוזר",5,0))+IF(G19="הליך משפטי/מינהלי/מכתב דרישה",10,IF(G19="תלונה/מחלוקת פעילה",5,0))))</x:f>
      </x:c>
      <x:c r="L19" s="45" t="str">
        <x:f>IF(K19="","",IF(H19="כן","קריטי",IF(K19&gt;=80,"קריטי",IF(K19&gt;=65,"גבוה",IF(K19&gt;=45,"משמעותי",IF(K19&gt;=25,"בינוני","נמוך"))))))</x:f>
      </x:c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 t="n">
        <x:f>IF(OR(C20="",D20="",D20=0),0,IF(C20&lt;=1,5,IF(OR(C20/D20&lt;=0.25,C20&lt;=5),10,IF(OR(C20/D20&lt;=0.5,C20&lt;=20),15,20))))</x:f>
        <x:v>0</x:v>
      </x:c>
      <x:c r="J20" s="45" t="n">
        <x:f>IF(E20="",0,IF(E20&lt;3,2,IF(E20&lt;12,4,IF(E20&lt;36,7,10))))</x:f>
        <x:v>0</x:v>
      </x:c>
      <x:c r="K20" s="45" t="str">
        <x:f>IF(B20="", "", MIN(100,B20*10+I20+J20+IF(F20="מדיניות",10,IF(F20="חוזר",5,0))+IF(G20="הליך משפטי/מינהלי/מכתב דרישה",10,IF(G20="תלונה/מחלוקת פעילה",5,0))))</x:f>
      </x:c>
      <x:c r="L20" s="45" t="str">
        <x:f>IF(K20="","",IF(H20="כן","קריטי",IF(K20&gt;=80,"קריטי",IF(K20&gt;=65,"גבוה",IF(K20&gt;=45,"משמעותי",IF(K20&gt;=25,"בינוני","נמוך"))))))</x:f>
      </x:c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 t="n">
        <x:f>IF(OR(C21="",D21="",D21=0),0,IF(C21&lt;=1,5,IF(OR(C21/D21&lt;=0.25,C21&lt;=5),10,IF(OR(C21/D21&lt;=0.5,C21&lt;=20),15,20))))</x:f>
        <x:v>0</x:v>
      </x:c>
      <x:c r="J21" s="45" t="n">
        <x:f>IF(E21="",0,IF(E21&lt;3,2,IF(E21&lt;12,4,IF(E21&lt;36,7,10))))</x:f>
        <x:v>0</x:v>
      </x:c>
      <x:c r="K21" s="45" t="str">
        <x:f>IF(B21="", "", MIN(100,B21*10+I21+J21+IF(F21="מדיניות",10,IF(F21="חוזר",5,0))+IF(G21="הליך משפטי/מינהלי/מכתב דרישה",10,IF(G21="תלונה/מחלוקת פעילה",5,0))))</x:f>
      </x:c>
      <x:c r="L21" s="45" t="str">
        <x:f>IF(K21="","",IF(H21="כן","קריטי",IF(K21&gt;=80,"קריטי",IF(K21&gt;=65,"גבוה",IF(K21&gt;=45,"משמעותי",IF(K21&gt;=25,"בינוני","נמוך"))))))</x:f>
      </x:c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 t="n">
        <x:f>IF(OR(C22="",D22="",D22=0),0,IF(C22&lt;=1,5,IF(OR(C22/D22&lt;=0.25,C22&lt;=5),10,IF(OR(C22/D22&lt;=0.5,C22&lt;=20),15,20))))</x:f>
        <x:v>0</x:v>
      </x:c>
      <x:c r="J22" s="45" t="n">
        <x:f>IF(E22="",0,IF(E22&lt;3,2,IF(E22&lt;12,4,IF(E22&lt;36,7,10))))</x:f>
        <x:v>0</x:v>
      </x:c>
      <x:c r="K22" s="45" t="str">
        <x:f>IF(B22="", "", MIN(100,B22*10+I22+J22+IF(F22="מדיניות",10,IF(F22="חוזר",5,0))+IF(G22="הליך משפטי/מינהלי/מכתב דרישה",10,IF(G22="תלונה/מחלוקת פעילה",5,0))))</x:f>
      </x:c>
      <x:c r="L22" s="45" t="str">
        <x:f>IF(K22="","",IF(H22="כן","קריטי",IF(K22&gt;=80,"קריטי",IF(K22&gt;=65,"גבוה",IF(K22&gt;=45,"משמעותי",IF(K22&gt;=25,"בינוני","נמוך"))))))</x:f>
      </x:c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 t="n">
        <x:f>IF(OR(C23="",D23="",D23=0),0,IF(C23&lt;=1,5,IF(OR(C23/D23&lt;=0.25,C23&lt;=5),10,IF(OR(C23/D23&lt;=0.5,C23&lt;=20),15,20))))</x:f>
        <x:v>0</x:v>
      </x:c>
      <x:c r="J23" s="45" t="n">
        <x:f>IF(E23="",0,IF(E23&lt;3,2,IF(E23&lt;12,4,IF(E23&lt;36,7,10))))</x:f>
        <x:v>0</x:v>
      </x:c>
      <x:c r="K23" s="45" t="str">
        <x:f>IF(B23="", "", MIN(100,B23*10+I23+J23+IF(F23="מדיניות",10,IF(F23="חוזר",5,0))+IF(G23="הליך משפטי/מינהלי/מכתב דרישה",10,IF(G23="תלונה/מחלוקת פעילה",5,0))))</x:f>
      </x:c>
      <x:c r="L23" s="45" t="str">
        <x:f>IF(K23="","",IF(H23="כן","קריטי",IF(K23&gt;=80,"קריטי",IF(K23&gt;=65,"גבוה",IF(K23&gt;=45,"משמעותי",IF(K23&gt;=25,"בינוני","נמוך"))))))</x:f>
      </x:c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 t="n">
        <x:f>IF(OR(C24="",D24="",D24=0),0,IF(C24&lt;=1,5,IF(OR(C24/D24&lt;=0.25,C24&lt;=5),10,IF(OR(C24/D24&lt;=0.5,C24&lt;=20),15,20))))</x:f>
        <x:v>0</x:v>
      </x:c>
      <x:c r="J24" s="45" t="n">
        <x:f>IF(E24="",0,IF(E24&lt;3,2,IF(E24&lt;12,4,IF(E24&lt;36,7,10))))</x:f>
        <x:v>0</x:v>
      </x:c>
      <x:c r="K24" s="45" t="str">
        <x:f>IF(B24="", "", MIN(100,B24*10+I24+J24+IF(F24="מדיניות",10,IF(F24="חוזר",5,0))+IF(G24="הליך משפטי/מינהלי/מכתב דרישה",10,IF(G24="תלונה/מחלוקת פעילה",5,0))))</x:f>
      </x:c>
      <x:c r="L24" s="45" t="str">
        <x:f>IF(K24="","",IF(H24="כן","קריטי",IF(K24&gt;=80,"קריטי",IF(K24&gt;=65,"גבוה",IF(K24&gt;=45,"משמעותי",IF(K24&gt;=25,"בינוני","נמוך"))))))</x:f>
      </x:c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 t="n">
        <x:f>IF(OR(C25="",D25="",D25=0),0,IF(C25&lt;=1,5,IF(OR(C25/D25&lt;=0.25,C25&lt;=5),10,IF(OR(C25/D25&lt;=0.5,C25&lt;=20),15,20))))</x:f>
        <x:v>0</x:v>
      </x:c>
      <x:c r="J25" s="45" t="n">
        <x:f>IF(E25="",0,IF(E25&lt;3,2,IF(E25&lt;12,4,IF(E25&lt;36,7,10))))</x:f>
        <x:v>0</x:v>
      </x:c>
      <x:c r="K25" s="45" t="str">
        <x:f>IF(B25="", "", MIN(100,B25*10+I25+J25+IF(F25="מדיניות",10,IF(F25="חוזר",5,0))+IF(G25="הליך משפטי/מינהלי/מכתב דרישה",10,IF(G25="תלונה/מחלוקת פעילה",5,0))))</x:f>
      </x:c>
      <x:c r="L25" s="45" t="str">
        <x:f>IF(K25="","",IF(H25="כן","קריטי",IF(K25&gt;=80,"קריטי",IF(K25&gt;=65,"גבוה",IF(K25&gt;=45,"משמעותי",IF(K25&gt;=25,"בינוני","נמוך"))))))</x:f>
      </x:c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 t="n">
        <x:f>IF(OR(C26="",D26="",D26=0),0,IF(C26&lt;=1,5,IF(OR(C26/D26&lt;=0.25,C26&lt;=5),10,IF(OR(C26/D26&lt;=0.5,C26&lt;=20),15,20))))</x:f>
        <x:v>0</x:v>
      </x:c>
      <x:c r="J26" s="45" t="n">
        <x:f>IF(E26="",0,IF(E26&lt;3,2,IF(E26&lt;12,4,IF(E26&lt;36,7,10))))</x:f>
        <x:v>0</x:v>
      </x:c>
      <x:c r="K26" s="45" t="str">
        <x:f>IF(B26="", "", MIN(100,B26*10+I26+J26+IF(F26="מדיניות",10,IF(F26="חוזר",5,0))+IF(G26="הליך משפטי/מינהלי/מכתב דרישה",10,IF(G26="תלונה/מחלוקת פעילה",5,0))))</x:f>
      </x:c>
      <x:c r="L26" s="45" t="str">
        <x:f>IF(K26="","",IF(H26="כן","קריטי",IF(K26&gt;=80,"קריטי",IF(K26&gt;=65,"גבוה",IF(K26&gt;=45,"משמעותי",IF(K26&gt;=25,"בינוני","נמוך"))))))</x:f>
      </x:c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 t="n">
        <x:f>IF(OR(C27="",D27="",D27=0),0,IF(C27&lt;=1,5,IF(OR(C27/D27&lt;=0.25,C27&lt;=5),10,IF(OR(C27/D27&lt;=0.5,C27&lt;=20),15,20))))</x:f>
        <x:v>0</x:v>
      </x:c>
      <x:c r="J27" s="45" t="n">
        <x:f>IF(E27="",0,IF(E27&lt;3,2,IF(E27&lt;12,4,IF(E27&lt;36,7,10))))</x:f>
        <x:v>0</x:v>
      </x:c>
      <x:c r="K27" s="45" t="str">
        <x:f>IF(B27="", "", MIN(100,B27*10+I27+J27+IF(F27="מדיניות",10,IF(F27="חוזר",5,0))+IF(G27="הליך משפטי/מינהלי/מכתב דרישה",10,IF(G27="תלונה/מחלוקת פעילה",5,0))))</x:f>
      </x:c>
      <x:c r="L27" s="45" t="str">
        <x:f>IF(K27="","",IF(H27="כן","קריטי",IF(K27&gt;=80,"קריטי",IF(K27&gt;=65,"גבוה",IF(K27&gt;=45,"משמעותי",IF(K27&gt;=25,"בינוני","נמוך"))))))</x:f>
      </x:c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 t="n">
        <x:f>IF(OR(C28="",D28="",D28=0),0,IF(C28&lt;=1,5,IF(OR(C28/D28&lt;=0.25,C28&lt;=5),10,IF(OR(C28/D28&lt;=0.5,C28&lt;=20),15,20))))</x:f>
        <x:v>0</x:v>
      </x:c>
      <x:c r="J28" s="45" t="n">
        <x:f>IF(E28="",0,IF(E28&lt;3,2,IF(E28&lt;12,4,IF(E28&lt;36,7,10))))</x:f>
        <x:v>0</x:v>
      </x:c>
      <x:c r="K28" s="45" t="str">
        <x:f>IF(B28="", "", MIN(100,B28*10+I28+J28+IF(F28="מדיניות",10,IF(F28="חוזר",5,0))+IF(G28="הליך משפטי/מינהלי/מכתב דרישה",10,IF(G28="תלונה/מחלוקת פעילה",5,0))))</x:f>
      </x:c>
      <x:c r="L28" s="45" t="str">
        <x:f>IF(K28="","",IF(H28="כן","קריטי",IF(K28&gt;=80,"קריטי",IF(K28&gt;=65,"גבוה",IF(K28&gt;=45,"משמעותי",IF(K28&gt;=25,"בינוני","נמוך"))))))</x:f>
      </x:c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 t="n">
        <x:f>IF(OR(C29="",D29="",D29=0),0,IF(C29&lt;=1,5,IF(OR(C29/D29&lt;=0.25,C29&lt;=5),10,IF(OR(C29/D29&lt;=0.5,C29&lt;=20),15,20))))</x:f>
        <x:v>0</x:v>
      </x:c>
      <x:c r="J29" s="45" t="n">
        <x:f>IF(E29="",0,IF(E29&lt;3,2,IF(E29&lt;12,4,IF(E29&lt;36,7,10))))</x:f>
        <x:v>0</x:v>
      </x:c>
      <x:c r="K29" s="45" t="str">
        <x:f>IF(B29="", "", MIN(100,B29*10+I29+J29+IF(F29="מדיניות",10,IF(F29="חוזר",5,0))+IF(G29="הליך משפטי/מינהלי/מכתב דרישה",10,IF(G29="תלונה/מחלוקת פעילה",5,0))))</x:f>
      </x:c>
      <x:c r="L29" s="45" t="str">
        <x:f>IF(K29="","",IF(H29="כן","קריטי",IF(K29&gt;=80,"קריטי",IF(K29&gt;=65,"גבוה",IF(K29&gt;=45,"משמעותי",IF(K29&gt;=25,"בינוני","נמוך"))))))</x:f>
      </x:c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 t="n">
        <x:f>IF(OR(C30="",D30="",D30=0),0,IF(C30&lt;=1,5,IF(OR(C30/D30&lt;=0.25,C30&lt;=5),10,IF(OR(C30/D30&lt;=0.5,C30&lt;=20),15,20))))</x:f>
        <x:v>0</x:v>
      </x:c>
      <x:c r="J30" s="45" t="n">
        <x:f>IF(E30="",0,IF(E30&lt;3,2,IF(E30&lt;12,4,IF(E30&lt;36,7,10))))</x:f>
        <x:v>0</x:v>
      </x:c>
      <x:c r="K30" s="45" t="str">
        <x:f>IF(B30="", "", MIN(100,B30*10+I30+J30+IF(F30="מדיניות",10,IF(F30="חוזר",5,0))+IF(G30="הליך משפטי/מינהלי/מכתב דרישה",10,IF(G30="תלונה/מחלוקת פעילה",5,0))))</x:f>
      </x:c>
      <x:c r="L30" s="45" t="str">
        <x:f>IF(K30="","",IF(H30="כן","קריטי",IF(K30&gt;=80,"קריטי",IF(K30&gt;=65,"גבוה",IF(K30&gt;=45,"משמעותי",IF(K30&gt;=25,"בינוני","נמוך"))))))</x:f>
      </x:c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 t="n">
        <x:f>IF(OR(C31="",D31="",D31=0),0,IF(C31&lt;=1,5,IF(OR(C31/D31&lt;=0.25,C31&lt;=5),10,IF(OR(C31/D31&lt;=0.5,C31&lt;=20),15,20))))</x:f>
        <x:v>0</x:v>
      </x:c>
      <x:c r="J31" s="45" t="n">
        <x:f>IF(E31="",0,IF(E31&lt;3,2,IF(E31&lt;12,4,IF(E31&lt;36,7,10))))</x:f>
        <x:v>0</x:v>
      </x:c>
      <x:c r="K31" s="45" t="str">
        <x:f>IF(B31="", "", MIN(100,B31*10+I31+J31+IF(F31="מדיניות",10,IF(F31="חוזר",5,0))+IF(G31="הליך משפטי/מינהלי/מכתב דרישה",10,IF(G31="תלונה/מחלוקת פעילה",5,0))))</x:f>
      </x:c>
      <x:c r="L31" s="45" t="str">
        <x:f>IF(K31="","",IF(H31="כן","קריטי",IF(K31&gt;=80,"קריטי",IF(K31&gt;=65,"גבוה",IF(K31&gt;=45,"משמעותי",IF(K31&gt;=25,"בינוני","נמוך"))))))</x:f>
      </x:c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 t="n">
        <x:f>IF(OR(C32="",D32="",D32=0),0,IF(C32&lt;=1,5,IF(OR(C32/D32&lt;=0.25,C32&lt;=5),10,IF(OR(C32/D32&lt;=0.5,C32&lt;=20),15,20))))</x:f>
        <x:v>0</x:v>
      </x:c>
      <x:c r="J32" s="45" t="n">
        <x:f>IF(E32="",0,IF(E32&lt;3,2,IF(E32&lt;12,4,IF(E32&lt;36,7,10))))</x:f>
        <x:v>0</x:v>
      </x:c>
      <x:c r="K32" s="45" t="str">
        <x:f>IF(B32="", "", MIN(100,B32*10+I32+J32+IF(F32="מדיניות",10,IF(F32="חוזר",5,0))+IF(G32="הליך משפטי/מינהלי/מכתב דרישה",10,IF(G32="תלונה/מחלוקת פעילה",5,0))))</x:f>
      </x:c>
      <x:c r="L32" s="45" t="str">
        <x:f>IF(K32="","",IF(H32="כן","קריטי",IF(K32&gt;=80,"קריטי",IF(K32&gt;=65,"גבוה",IF(K32&gt;=45,"משמעותי",IF(K32&gt;=25,"בינוני","נמוך"))))))</x:f>
      </x:c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 t="n">
        <x:f>IF(OR(C33="",D33="",D33=0),0,IF(C33&lt;=1,5,IF(OR(C33/D33&lt;=0.25,C33&lt;=5),10,IF(OR(C33/D33&lt;=0.5,C33&lt;=20),15,20))))</x:f>
        <x:v>0</x:v>
      </x:c>
      <x:c r="J33" s="45" t="n">
        <x:f>IF(E33="",0,IF(E33&lt;3,2,IF(E33&lt;12,4,IF(E33&lt;36,7,10))))</x:f>
        <x:v>0</x:v>
      </x:c>
      <x:c r="K33" s="45" t="str">
        <x:f>IF(B33="", "", MIN(100,B33*10+I33+J33+IF(F33="מדיניות",10,IF(F33="חוזר",5,0))+IF(G33="הליך משפטי/מינהלי/מכתב דרישה",10,IF(G33="תלונה/מחלוקת פעילה",5,0))))</x:f>
      </x:c>
      <x:c r="L33" s="45" t="str">
        <x:f>IF(K33="","",IF(H33="כן","קריטי",IF(K33&gt;=80,"קריטי",IF(K33&gt;=65,"גבוה",IF(K33&gt;=45,"משמעותי",IF(K33&gt;=25,"בינוני","נמוך"))))))</x:f>
      </x:c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 t="n">
        <x:f>IF(OR(C34="",D34="",D34=0),0,IF(C34&lt;=1,5,IF(OR(C34/D34&lt;=0.25,C34&lt;=5),10,IF(OR(C34/D34&lt;=0.5,C34&lt;=20),15,20))))</x:f>
        <x:v>0</x:v>
      </x:c>
      <x:c r="J34" s="45" t="n">
        <x:f>IF(E34="",0,IF(E34&lt;3,2,IF(E34&lt;12,4,IF(E34&lt;36,7,10))))</x:f>
        <x:v>0</x:v>
      </x:c>
      <x:c r="K34" s="45" t="str">
        <x:f>IF(B34="", "", MIN(100,B34*10+I34+J34+IF(F34="מדיניות",10,IF(F34="חוזר",5,0))+IF(G34="הליך משפטי/מינהלי/מכתב דרישה",10,IF(G34="תלונה/מחלוקת פעילה",5,0))))</x:f>
      </x:c>
      <x:c r="L34" s="45" t="str">
        <x:f>IF(K34="","",IF(H34="כן","קריטי",IF(K34&gt;=80,"קריטי",IF(K34&gt;=65,"גבוה",IF(K34&gt;=45,"משמעותי",IF(K34&gt;=25,"בינוני","נמוך"))))))</x:f>
      </x:c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 t="n">
        <x:f>IF(OR(C35="",D35="",D35=0),0,IF(C35&lt;=1,5,IF(OR(C35/D35&lt;=0.25,C35&lt;=5),10,IF(OR(C35/D35&lt;=0.5,C35&lt;=20),15,20))))</x:f>
        <x:v>0</x:v>
      </x:c>
      <x:c r="J35" s="45" t="n">
        <x:f>IF(E35="",0,IF(E35&lt;3,2,IF(E35&lt;12,4,IF(E35&lt;36,7,10))))</x:f>
        <x:v>0</x:v>
      </x:c>
      <x:c r="K35" s="45" t="str">
        <x:f>IF(B35="", "", MIN(100,B35*10+I35+J35+IF(F35="מדיניות",10,IF(F35="חוזר",5,0))+IF(G35="הליך משפטי/מינהלי/מכתב דרישה",10,IF(G35="תלונה/מחלוקת פעילה",5,0))))</x:f>
      </x:c>
      <x:c r="L35" s="45" t="str">
        <x:f>IF(K35="","",IF(H35="כן","קריטי",IF(K35&gt;=80,"קריטי",IF(K35&gt;=65,"גבוה",IF(K35&gt;=45,"משמעותי",IF(K35&gt;=25,"בינוני","נמוך"))))))</x:f>
      </x:c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 t="n">
        <x:f>IF(OR(C36="",D36="",D36=0),0,IF(C36&lt;=1,5,IF(OR(C36/D36&lt;=0.25,C36&lt;=5),10,IF(OR(C36/D36&lt;=0.5,C36&lt;=20),15,20))))</x:f>
        <x:v>0</x:v>
      </x:c>
      <x:c r="J36" s="45" t="n">
        <x:f>IF(E36="",0,IF(E36&lt;3,2,IF(E36&lt;12,4,IF(E36&lt;36,7,10))))</x:f>
        <x:v>0</x:v>
      </x:c>
      <x:c r="K36" s="45" t="str">
        <x:f>IF(B36="", "", MIN(100,B36*10+I36+J36+IF(F36="מדיניות",10,IF(F36="חוזר",5,0))+IF(G36="הליך משפטי/מינהלי/מכתב דרישה",10,IF(G36="תלונה/מחלוקת פעילה",5,0))))</x:f>
      </x:c>
      <x:c r="L36" s="45" t="str">
        <x:f>IF(K36="","",IF(H36="כן","קריטי",IF(K36&gt;=80,"קריטי",IF(K36&gt;=65,"גבוה",IF(K36&gt;=45,"משמעותי",IF(K36&gt;=25,"בינוני","נמוך"))))))</x:f>
      </x:c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 t="n">
        <x:f>IF(OR(C37="",D37="",D37=0),0,IF(C37&lt;=1,5,IF(OR(C37/D37&lt;=0.25,C37&lt;=5),10,IF(OR(C37/D37&lt;=0.5,C37&lt;=20),15,20))))</x:f>
        <x:v>0</x:v>
      </x:c>
      <x:c r="J37" s="45" t="n">
        <x:f>IF(E37="",0,IF(E37&lt;3,2,IF(E37&lt;12,4,IF(E37&lt;36,7,10))))</x:f>
        <x:v>0</x:v>
      </x:c>
      <x:c r="K37" s="45" t="str">
        <x:f>IF(B37="", "", MIN(100,B37*10+I37+J37+IF(F37="מדיניות",10,IF(F37="חוזר",5,0))+IF(G37="הליך משפטי/מינהלי/מכתב דרישה",10,IF(G37="תלונה/מחלוקת פעילה",5,0))))</x:f>
      </x:c>
      <x:c r="L37" s="45" t="str">
        <x:f>IF(K37="","",IF(H37="כן","קריטי",IF(K37&gt;=80,"קריטי",IF(K37&gt;=65,"גבוה",IF(K37&gt;=45,"משמעותי",IF(K37&gt;=25,"בינוני","נמוך"))))))</x:f>
      </x:c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 t="n">
        <x:f>IF(OR(C38="",D38="",D38=0),0,IF(C38&lt;=1,5,IF(OR(C38/D38&lt;=0.25,C38&lt;=5),10,IF(OR(C38/D38&lt;=0.5,C38&lt;=20),15,20))))</x:f>
        <x:v>0</x:v>
      </x:c>
      <x:c r="J38" s="45" t="n">
        <x:f>IF(E38="",0,IF(E38&lt;3,2,IF(E38&lt;12,4,IF(E38&lt;36,7,10))))</x:f>
        <x:v>0</x:v>
      </x:c>
      <x:c r="K38" s="45" t="str">
        <x:f>IF(B38="", "", MIN(100,B38*10+I38+J38+IF(F38="מדיניות",10,IF(F38="חוזר",5,0))+IF(G38="הליך משפטי/מינהלי/מכתב דרישה",10,IF(G38="תלונה/מחלוקת פעילה",5,0))))</x:f>
      </x:c>
      <x:c r="L38" s="45" t="str">
        <x:f>IF(K38="","",IF(H38="כן","קריטי",IF(K38&gt;=80,"קריטי",IF(K38&gt;=65,"גבוה",IF(K38&gt;=45,"משמעותי",IF(K38&gt;=25,"בינוני","נמוך"))))))</x:f>
      </x:c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 t="n">
        <x:f>IF(OR(C39="",D39="",D39=0),0,IF(C39&lt;=1,5,IF(OR(C39/D39&lt;=0.25,C39&lt;=5),10,IF(OR(C39/D39&lt;=0.5,C39&lt;=20),15,20))))</x:f>
        <x:v>0</x:v>
      </x:c>
      <x:c r="J39" s="45" t="n">
        <x:f>IF(E39="",0,IF(E39&lt;3,2,IF(E39&lt;12,4,IF(E39&lt;36,7,10))))</x:f>
        <x:v>0</x:v>
      </x:c>
      <x:c r="K39" s="45" t="str">
        <x:f>IF(B39="", "", MIN(100,B39*10+I39+J39+IF(F39="מדיניות",10,IF(F39="חוזר",5,0))+IF(G39="הליך משפטי/מינהלי/מכתב דרישה",10,IF(G39="תלונה/מחלוקת פעילה",5,0))))</x:f>
      </x:c>
      <x:c r="L39" s="45" t="str">
        <x:f>IF(K39="","",IF(H39="כן","קריטי",IF(K39&gt;=80,"קריטי",IF(K39&gt;=65,"גבוה",IF(K39&gt;=45,"משמעותי",IF(K39&gt;=25,"בינוני","נמוך"))))))</x:f>
      </x:c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L1"/>
    <x:mergeCell ref="A2:L3"/>
  </x:mergeCells>
  <x:conditionalFormatting sqref="K6:K40">
    <x:cfRule type="colorScale" priority="1">
      <x:colorScale>
        <x:cfvo type="min"/>
        <x:cfvo type="percentile" val="50"/>
        <x:cfvo type="max"/>
        <x:color rgb="FFE5F2E8"/>
        <x:color rgb="FFFFF2CC"/>
        <x:color rgb="FFF8CBC7"/>
      </x:colorScale>
    </x:cfRule>
  </x:conditionalFormatting>
  <x:dataValidations count="4">
    <x:dataValidation type="list" sqref="F6:F40">
      <x:formula1>"בודד,חוזר,מדיניות"</x:formula1>
    </x:dataValidation>
    <x:dataValidation type="list" sqref="G6:G40">
      <x:formula1>"אין,תלונה/מחלוקת פעילה,הליך משפטי/מינהלי/מכתב דרישה"</x:formula1>
    </x:dataValidation>
    <x:dataValidation type="list" sqref="H6:H40">
      <x:formula1>"כן,לא"</x:formula1>
    </x:dataValidation>
    <x:dataValidation type="list" sqref="B6:B40">
      <x:formula1>"1,2,3,4,5"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42" hidden="0" customWidth="1"/>
    <x:col min="5" max="5" width="24" hidden="0" customWidth="1"/>
    <x:col min="6" max="6" width="14" hidden="0" customWidth="1"/>
    <x:col min="7" max="7" width="40" hidden="0" customWidth="1"/>
    <x:col min="8" max="8" width="10" hidden="0" customWidth="1"/>
  </x:cols>
  <x:sheetData>
    <x:row r="1" ht="30" customHeight="1">
      <x:c r="A1" s="69" t="str">
        <x:v>מבנה דוח המיפוי — פלט ללקוח ופלט מקצועי</x:v>
      </x:c>
      <x:c r="B1" s="69"/>
      <x:c r="C1" s="69"/>
      <x:c r="D1" s="69"/>
      <x:c r="E1" s="69"/>
      <x:c r="F1" s="69"/>
      <x:c r="G1" s="69"/>
      <x:c r="H1" s="69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71" t="str">
        <x:v>שכבה</x:v>
      </x:c>
      <x:c r="B3" s="71" t="str">
        <x:v>שדה</x:v>
      </x:c>
      <x:c r="C3" s="71" t="str">
        <x:v>פלט ללקוח</x:v>
      </x:c>
      <x:c r="D3" s="71" t="str">
        <x:v>פלט מקצועי</x:v>
      </x:c>
      <x:c r="E3" s="71" t="str">
        <x:v>מקור</x:v>
      </x:c>
      <x:c r="F3" s="71" t="str">
        <x:v>מוצג תמיד?</x:v>
      </x:c>
      <x:c r="G3" s="71" t="str">
        <x:v>הערה</x:v>
      </x:c>
      <x:c r="H3" s="71" t="str">
        <x:v>גרסה</x:v>
      </x:c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45" t="str">
        <x:v>Executive</x:v>
      </x:c>
      <x:c r="B4" s="45" t="str">
        <x:v>תמונת מצב כללית</x:v>
      </x:c>
      <x:c r="C4" s="45" t="str">
        <x:v>3–5 משפטים על מצב העסק</x:v>
      </x:c>
      <x:c r="D4" s="45" t="str">
        <x:v>סיכום ממצאים, מגבלות נתונים ו-confidence</x:v>
      </x:c>
      <x:c r="E4" s="45" t="str">
        <x:v>כל המנוע</x:v>
      </x:c>
      <x:c r="F4" s="45" t="str">
        <x:v>כן</x:v>
      </x:c>
      <x:c r="G4" s="45" t="str">
        <x:v>ללא חוות דעת משפטית מלאה.</x:v>
      </x:c>
      <x:c r="H4" s="45" t="str">
        <x:v>V1</x:v>
      </x:c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A5" s="45" t="str">
        <x:v>Executive</x:v>
      </x:c>
      <x:c r="B5" s="45" t="str">
        <x:v>מספר מוקדי חשיפה</x:v>
      </x:c>
      <x:c r="C5" s="45" t="str">
        <x:v>כן — לפי רמות</x:v>
      </x:c>
      <x:c r="D5" s="45" t="str">
        <x:v>כן — כולל Rule IDs</x:v>
      </x:c>
      <x:c r="E5" s="45" t="str">
        <x:v>Rule Engine</x:v>
      </x:c>
      <x:c r="F5" s="45" t="str">
        <x:v>כן</x:v>
      </x:c>
      <x:c r="G5" s="45" t="str">
        <x:v>לא להציג 'ציון ציות' כאמת מוחלטת.</x:v>
      </x:c>
      <x:c r="H5" s="45" t="str">
        <x:v>V1</x:v>
      </x:c>
      <x:c r="I5" s="45"/>
      <x:c r="J5" s="45"/>
      <x:c r="K5" s="45"/>
      <x:c r="L5" s="45"/>
      <x:c r="M5" s="45"/>
      <x:c r="N5" s="45"/>
      <x:c r="O5" s="45"/>
      <x:c r="P5" s="45"/>
      <x:c r="Q5" s="45"/>
    </x:row>
    <x:row r="6">
      <x:c r="A6" s="45" t="str">
        <x:v>Finding</x:v>
      </x:c>
      <x:c r="B6" s="45" t="str">
        <x:v>תחום</x:v>
      </x:c>
      <x:c r="C6" s="45" t="str">
        <x:v>דיני עבודה/פרילנסרים/פרטיות</x:v>
      </x:c>
      <x:c r="D6" s="45" t="str">
        <x:v>תחום + תת-תחום</x:v>
      </x:c>
      <x:c r="E6" s="45" t="str">
        <x:v>Rule</x:v>
      </x:c>
      <x:c r="F6" s="45" t="str">
        <x:v>כן</x:v>
      </x:c>
      <x:c r="G6" s="45" t="str"/>
      <x:c r="H6" s="45" t="str">
        <x:v>V1</x:v>
      </x:c>
      <x:c r="I6" s="45"/>
      <x:c r="J6" s="45"/>
      <x:c r="K6" s="45"/>
      <x:c r="L6" s="45"/>
      <x:c r="M6" s="45"/>
      <x:c r="N6" s="45"/>
      <x:c r="O6" s="45"/>
      <x:c r="P6" s="45"/>
      <x:c r="Q6" s="45"/>
    </x:row>
    <x:row r="7">
      <x:c r="A7" s="45" t="str">
        <x:v>Finding</x:v>
      </x:c>
      <x:c r="B7" s="45" t="str">
        <x:v>ממצא</x:v>
      </x:c>
      <x:c r="C7" s="45" t="str">
        <x:v>נוסח תמציתי ולא מאשים</x:v>
      </x:c>
      <x:c r="D7" s="45" t="str">
        <x:v>ממצא משפטי מפורט</x:v>
      </x:c>
      <x:c r="E7" s="45" t="str">
        <x:v>Rule + Evidence</x:v>
      </x:c>
      <x:c r="F7" s="45" t="str">
        <x:v>כן</x:v>
      </x:c>
      <x:c r="G7" s="45" t="str"/>
      <x:c r="H7" s="45" t="str">
        <x:v>V1</x:v>
      </x:c>
      <x:c r="I7" s="45"/>
      <x:c r="J7" s="45"/>
      <x:c r="K7" s="45"/>
      <x:c r="L7" s="45"/>
      <x:c r="M7" s="45"/>
      <x:c r="N7" s="45"/>
      <x:c r="O7" s="45"/>
      <x:c r="P7" s="45"/>
      <x:c r="Q7" s="45"/>
    </x:row>
    <x:row r="8">
      <x:c r="A8" s="45" t="str">
        <x:v>Finding</x:v>
      </x:c>
      <x:c r="B8" s="45" t="str">
        <x:v>רמת סיכון</x:v>
      </x:c>
      <x:c r="C8" s="45" t="str">
        <x:v>נמוך/בינוני/משמעותי/גבוה/קריטי</x:v>
      </x:c>
      <x:c r="D8" s="45" t="str">
        <x:v>ציון 0–100 + Override</x:v>
      </x:c>
      <x:c r="E8" s="45" t="str">
        <x:v>Calculator</x:v>
      </x:c>
      <x:c r="F8" s="45" t="str">
        <x:v>כן</x:v>
      </x:c>
      <x:c r="G8" s="45" t="str"/>
      <x:c r="H8" s="45" t="str">
        <x:v>V1</x:v>
      </x:c>
      <x:c r="I8" s="45"/>
      <x:c r="J8" s="45"/>
      <x:c r="K8" s="45"/>
      <x:c r="L8" s="45"/>
      <x:c r="M8" s="45"/>
      <x:c r="N8" s="45"/>
      <x:c r="O8" s="45"/>
      <x:c r="P8" s="45"/>
      <x:c r="Q8" s="45"/>
    </x:row>
    <x:row r="9">
      <x:c r="A9" s="45" t="str">
        <x:v>Finding</x:v>
      </x:c>
      <x:c r="B9" s="45" t="str">
        <x:v>רמת ודאות</x:v>
      </x:c>
      <x:c r="C9" s="45" t="str">
        <x:v>אפשר: 'נדרש אימות'</x:v>
      </x:c>
      <x:c r="D9" s="45" t="str">
        <x:v>1–4 + מקורות הראיה</x:v>
      </x:c>
      <x:c r="E9" s="45" t="str">
        <x:v>Evidence</x:v>
      </x:c>
      <x:c r="F9" s="45" t="str">
        <x:v>רק כשנדרש</x:v>
      </x:c>
      <x:c r="G9" s="45" t="str">
        <x:v>מונע הצגת מסקנות ודאיות על בסיס תשובה עצמית בלבד.</x:v>
      </x:c>
      <x:c r="H9" s="45" t="str">
        <x:v>V1</x:v>
      </x:c>
      <x:c r="I9" s="45"/>
      <x:c r="J9" s="45"/>
      <x:c r="K9" s="45"/>
      <x:c r="L9" s="45"/>
      <x:c r="M9" s="45"/>
      <x:c r="N9" s="45"/>
      <x:c r="O9" s="45"/>
      <x:c r="P9" s="45"/>
      <x:c r="Q9" s="45"/>
    </x:row>
    <x:row r="10">
      <x:c r="A10" s="45" t="str">
        <x:v>Finding</x:v>
      </x:c>
      <x:c r="B10" s="45" t="str">
        <x:v>היקף</x:v>
      </x:c>
      <x:c r="C10" s="45" t="str">
        <x:v>למשל 'משפיע על חלק מהעובדים'</x:v>
      </x:c>
      <x:c r="D10" s="45" t="str">
        <x:v>מספר/אחוז עובדים</x:v>
      </x:c>
      <x:c r="E10" s="45" t="str">
        <x:v>Responses</x:v>
      </x:c>
      <x:c r="F10" s="45" t="str">
        <x:v>כן</x:v>
      </x:c>
      <x:c r="G10" s="45" t="str"/>
      <x:c r="H10" s="45" t="str">
        <x:v>V1</x:v>
      </x:c>
      <x:c r="I10" s="45"/>
      <x:c r="J10" s="45"/>
      <x:c r="K10" s="45"/>
      <x:c r="L10" s="45"/>
      <x:c r="M10" s="45"/>
      <x:c r="N10" s="45"/>
      <x:c r="O10" s="45"/>
      <x:c r="P10" s="45"/>
      <x:c r="Q10" s="45"/>
    </x:row>
    <x:row r="11">
      <x:c r="A11" s="45" t="str">
        <x:v>Finding</x:v>
      </x:c>
      <x:c r="B11" s="45" t="str">
        <x:v>למה זה חשוב</x:v>
      </x:c>
      <x:c r="C11" s="45" t="str">
        <x:v>הסבר קצר</x:v>
      </x:c>
      <x:c r="D11" s="45" t="str">
        <x:v>עיקרון משפטי + מקור</x:v>
      </x:c>
      <x:c r="E11" s="45" t="str">
        <x:v>Legal Source</x:v>
      </x:c>
      <x:c r="F11" s="45" t="str">
        <x:v>כן</x:v>
      </x:c>
      <x:c r="G11" s="45" t="str">
        <x:v>לא להעתיק הוראות חוק ארוכות.</x:v>
      </x:c>
      <x:c r="H11" s="45" t="str">
        <x:v>V1</x:v>
      </x:c>
      <x:c r="I11" s="45"/>
      <x:c r="J11" s="45"/>
      <x:c r="K11" s="45"/>
      <x:c r="L11" s="45"/>
      <x:c r="M11" s="45"/>
      <x:c r="N11" s="45"/>
      <x:c r="O11" s="45"/>
      <x:c r="P11" s="45"/>
      <x:c r="Q11" s="45"/>
    </x:row>
    <x:row r="12">
      <x:c r="A12" s="45" t="str">
        <x:v>Finding</x:v>
      </x:c>
      <x:c r="B12" s="45" t="str">
        <x:v>פעולה מומלצת</x:v>
      </x:c>
      <x:c r="C12" s="45" t="str">
        <x:v>פעולה אופרטיבית</x:v>
      </x:c>
      <x:c r="D12" s="45" t="str">
        <x:v>תכנית טיפול + קדימות</x:v>
      </x:c>
      <x:c r="E12" s="45" t="str">
        <x:v>Rule</x:v>
      </x:c>
      <x:c r="F12" s="45" t="str">
        <x:v>כן</x:v>
      </x:c>
      <x:c r="G12" s="45" t="str"/>
      <x:c r="H12" s="45" t="str">
        <x:v>V1</x:v>
      </x:c>
      <x:c r="I12" s="45"/>
      <x:c r="J12" s="45"/>
      <x:c r="K12" s="45"/>
      <x:c r="L12" s="45"/>
      <x:c r="M12" s="45"/>
      <x:c r="N12" s="45"/>
      <x:c r="O12" s="45"/>
      <x:c r="P12" s="45"/>
      <x:c r="Q12" s="45"/>
    </x:row>
    <x:row r="13">
      <x:c r="A13" s="45" t="str">
        <x:v>Commercial</x:v>
      </x:c>
      <x:c r="B13" s="45" t="str">
        <x:v>שירות המשך</x:v>
      </x:c>
      <x:c r="C13" s="45" t="str">
        <x:v>רק אם רלוונטי</x:v>
      </x:c>
      <x:c r="D13" s="45" t="str">
        <x:v>מיפוי Need לשירות</x:v>
      </x:c>
      <x:c r="E13" s="45" t="str">
        <x:v>Rule</x:v>
      </x:c>
      <x:c r="F13" s="45" t="str">
        <x:v>לא בהכרח</x:v>
      </x:c>
      <x:c r="G13" s="45" t="str">
        <x:v>לא להפוך את הדוח לפרסומת.</x:v>
      </x:c>
      <x:c r="H13" s="45" t="str">
        <x:v>V1</x:v>
      </x:c>
      <x:c r="I13" s="45"/>
      <x:c r="J13" s="45"/>
      <x:c r="K13" s="45"/>
      <x:c r="L13" s="45"/>
      <x:c r="M13" s="45"/>
      <x:c r="N13" s="45"/>
      <x:c r="O13" s="45"/>
      <x:c r="P13" s="45"/>
      <x:c r="Q13" s="45"/>
    </x:row>
    <x:row r="14">
      <x:c r="A14" s="45" t="str">
        <x:v>Privacy</x:v>
      </x:c>
      <x:c r="B14" s="45" t="str">
        <x:v>דגל מידע רגיש</x:v>
      </x:c>
      <x:c r="C14" s="45" t="str">
        <x:v>לא בהכרח</x:v>
      </x:c>
      <x:c r="D14" s="45" t="str">
        <x:v>כן — לצורך אבטחה/גישה/שמירה</x:v>
      </x:c>
      <x:c r="E14" s="45" t="str">
        <x:v>PRIV-01</x:v>
      </x:c>
      <x:c r="F14" s="45" t="str">
        <x:v>מותנה</x:v>
      </x:c>
      <x:c r="G14" s="45" t="str"/>
      <x:c r="H14" s="45" t="str">
        <x:v>V1</x:v>
      </x:c>
      <x:c r="I14" s="45"/>
      <x:c r="J14" s="45"/>
      <x:c r="K14" s="45"/>
      <x:c r="L14" s="45"/>
      <x:c r="M14" s="45"/>
      <x:c r="N14" s="45"/>
      <x:c r="O14" s="45"/>
      <x:c r="P14" s="45"/>
      <x:c r="Q14" s="45"/>
    </x:row>
    <x:row r="15">
      <x:c r="A15" s="45" t="str">
        <x:v>Freelancer</x:v>
      </x:c>
      <x:c r="B15" s="45" t="str">
        <x:v>ציון Screening</x:v>
      </x:c>
      <x:c r="C15" s="45" t="str">
        <x:v>רמה בלבד</x:v>
      </x:c>
      <x:c r="D15" s="45" t="str">
        <x:v>ניקוד אינדיקציות + פירוט</x:v>
      </x:c>
      <x:c r="E15" s="45" t="str">
        <x:v>Freelancer Model</x:v>
      </x:c>
      <x:c r="F15" s="45" t="str">
        <x:v>מותנה</x:v>
      </x:c>
      <x:c r="G15" s="45" t="str">
        <x:v>להדגיש שאינו קובע מעמד משפטי.</x:v>
      </x:c>
      <x:c r="H15" s="45" t="str">
        <x:v>V1</x:v>
      </x:c>
      <x:c r="I15" s="45"/>
      <x:c r="J15" s="45"/>
      <x:c r="K15" s="45"/>
      <x:c r="L15" s="45"/>
      <x:c r="M15" s="45"/>
      <x:c r="N15" s="45"/>
      <x:c r="O15" s="45"/>
      <x:c r="P15" s="45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c3c1581ac144b0f"/>
  </x:tableParts>
</x:worksheet>
</file>